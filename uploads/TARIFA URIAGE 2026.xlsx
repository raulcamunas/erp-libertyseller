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+a5GervBsYhDI3S4UqP6uPk4p7BuSIJMQbSM/EsbSRU="/>
    </ext>
  </extLst>
</workbook>
</file>

<file path=xl/sharedStrings.xml><?xml version="1.0" encoding="utf-8"?>
<sst xmlns="http://schemas.openxmlformats.org/spreadsheetml/2006/main" count="217" uniqueCount="217">
  <si>
    <r>
      <rPr>
        <rFont val="Arial"/>
        <b/>
        <color theme="1"/>
        <sz val="19.0"/>
      </rPr>
      <t>TARIFA 2026</t>
    </r>
  </si>
  <si>
    <r>
      <rPr>
        <rFont val="Arial"/>
        <b/>
        <color theme="1"/>
        <sz val="5.0"/>
      </rPr>
      <t>ML</t>
    </r>
  </si>
  <si>
    <r>
      <rPr>
        <rFont val="Arial"/>
        <b/>
        <color theme="1"/>
        <sz val="5.0"/>
      </rPr>
      <t>SAP</t>
    </r>
  </si>
  <si>
    <r>
      <rPr>
        <rFont val="Arial"/>
        <b/>
        <color theme="1"/>
        <sz val="5.0"/>
      </rPr>
      <t>CN</t>
    </r>
  </si>
  <si>
    <r>
      <rPr>
        <rFont val="Arial"/>
        <b/>
        <color theme="1"/>
        <sz val="5.0"/>
      </rPr>
      <t>EAN</t>
    </r>
  </si>
  <si>
    <r>
      <rPr>
        <rFont val="Arial"/>
        <b/>
        <color theme="1"/>
        <sz val="5.0"/>
      </rPr>
      <t>PVL 26</t>
    </r>
  </si>
  <si>
    <r>
      <rPr>
        <rFont val="Arial"/>
        <b/>
        <color theme="1"/>
        <sz val="5.0"/>
      </rPr>
      <t>PVPR* 26</t>
    </r>
  </si>
  <si>
    <t>PUC</t>
  </si>
  <si>
    <r>
      <rPr>
        <rFont val="Arial"/>
        <b/>
        <color theme="1"/>
        <sz val="5.0"/>
      </rPr>
      <t>AGUA TERMAL REPARADORA DE URIAGE</t>
    </r>
  </si>
  <si>
    <r>
      <rPr>
        <rFont val="Arial MT"/>
        <color theme="1"/>
        <sz val="5.0"/>
      </rPr>
      <t>Agua Termal Reparadora de Uriage 50 ml</t>
    </r>
  </si>
  <si>
    <r>
      <rPr>
        <rFont val="Arial MT"/>
        <color theme="1"/>
        <sz val="5.0"/>
      </rPr>
      <t>Agua Termal Reparadora de Uriage 150 ml</t>
    </r>
  </si>
  <si>
    <r>
      <rPr>
        <rFont val="Arial MT"/>
        <color theme="1"/>
        <sz val="5.0"/>
      </rPr>
      <t>Agua Termal Reparadora de Uriage 300 ml</t>
    </r>
  </si>
  <si>
    <r>
      <rPr>
        <rFont val="Arial"/>
        <b/>
        <color rgb="FF0092C5"/>
        <sz val="5.0"/>
      </rPr>
      <t>ROSTRO</t>
    </r>
  </si>
  <si>
    <r>
      <rPr>
        <rFont val="Arial MT"/>
        <color theme="1"/>
        <sz val="5.0"/>
      </rPr>
      <t>Agua Micelar Termal Pieles Normales a Secas 500ml</t>
    </r>
  </si>
  <si>
    <r>
      <rPr>
        <rFont val="Arial MT"/>
        <color theme="1"/>
        <sz val="5.0"/>
      </rPr>
      <t>Agua Micelar Termal Pieles Sensibles 500ml</t>
    </r>
  </si>
  <si>
    <r>
      <rPr>
        <rFont val="Arial MT"/>
        <color theme="1"/>
        <sz val="5.0"/>
      </rPr>
      <t>Agua Micelar Termal Pieles Mixtas a Grasas 500ml</t>
    </r>
  </si>
  <si>
    <r>
      <rPr>
        <rFont val="Arial MT"/>
        <color theme="1"/>
        <sz val="5.0"/>
      </rPr>
      <t>Desmaquillantes de Ojos Bifásico 100ml</t>
    </r>
  </si>
  <si>
    <r>
      <rPr>
        <rFont val="Arial MT"/>
        <color theme="1"/>
        <sz val="5.0"/>
      </rPr>
      <t>Leche Desmaquillante 250ml</t>
    </r>
  </si>
  <si>
    <r>
      <rPr>
        <rFont val="Arial MT"/>
        <color theme="1"/>
        <sz val="5.0"/>
      </rPr>
      <t>Espuma de Agua Limpiadora 150ml</t>
    </r>
  </si>
  <si>
    <r>
      <rPr>
        <rFont val="Arial MT"/>
        <color theme="1"/>
        <sz val="5.0"/>
      </rPr>
      <t>Gel Desmaquillante Refrescante 150ml</t>
    </r>
  </si>
  <si>
    <r>
      <rPr>
        <rFont val="Arial MT"/>
        <color theme="1"/>
        <sz val="5.0"/>
      </rPr>
      <t>Aceite Desmaquillante 100ml</t>
    </r>
  </si>
  <si>
    <r>
      <rPr>
        <rFont val="Arial"/>
        <b/>
        <color rgb="FF0092C5"/>
        <sz val="5.0"/>
      </rPr>
      <t>CUERPO</t>
    </r>
  </si>
  <si>
    <r>
      <rPr>
        <rFont val="Arial MT"/>
        <color theme="1"/>
        <sz val="5.0"/>
      </rPr>
      <t>Crema Lavante Sólida 125gr</t>
    </r>
  </si>
  <si>
    <r>
      <rPr>
        <rFont val="Arial MT"/>
        <color theme="1"/>
        <sz val="5.0"/>
      </rPr>
      <t>Crema Lavante 500ml</t>
    </r>
  </si>
  <si>
    <r>
      <rPr>
        <rFont val="Arial MT"/>
        <color theme="1"/>
        <sz val="5.0"/>
      </rPr>
      <t>Crema Lavante 1000ml</t>
    </r>
  </si>
  <si>
    <r>
      <rPr>
        <rFont val="Arial MT"/>
        <color theme="1"/>
        <sz val="5.0"/>
      </rPr>
      <t>Pan Surgras 100g</t>
    </r>
  </si>
  <si>
    <r>
      <rPr>
        <rFont val="Arial MT"/>
        <color theme="1"/>
        <sz val="5.0"/>
      </rPr>
      <t>Gel Surgras Dermatológico 500ml</t>
    </r>
  </si>
  <si>
    <r>
      <rPr>
        <rFont val="Arial MT"/>
        <color theme="1"/>
        <sz val="5.0"/>
      </rPr>
      <t>Gel Surgras Dermatológico 1000ml</t>
    </r>
  </si>
  <si>
    <r>
      <rPr>
        <rFont val="Arial MT"/>
        <color theme="1"/>
        <sz val="5.0"/>
      </rPr>
      <t>Aceite Lavante 1000ml</t>
    </r>
  </si>
  <si>
    <r>
      <rPr>
        <rFont val="Arial MT"/>
        <color theme="1"/>
        <sz val="5.0"/>
      </rPr>
      <t>Crema Exfoliante Corporal 200ml</t>
    </r>
  </si>
  <si>
    <r>
      <rPr>
        <rFont val="Arial MT"/>
        <color theme="1"/>
        <sz val="5.0"/>
      </rPr>
      <t>Desodorante Suave 50ml</t>
    </r>
  </si>
  <si>
    <r>
      <rPr>
        <rFont val="Arial MT"/>
        <color theme="1"/>
        <sz val="5.0"/>
      </rPr>
      <t>Desodorante Frescor 125ml</t>
    </r>
  </si>
  <si>
    <r>
      <rPr>
        <rFont val="Arial MT"/>
        <color theme="1"/>
        <sz val="5.0"/>
      </rPr>
      <t>Desodorante TriActivo 50ml</t>
    </r>
  </si>
  <si>
    <r>
      <rPr>
        <rFont val="Arial"/>
        <b/>
        <color rgb="FFFFFFFF"/>
        <sz val="5.0"/>
      </rPr>
      <t>GYN-PHY - HIGIENE ÍNTIMA</t>
    </r>
  </si>
  <si>
    <r>
      <rPr>
        <rFont val="Arial MT"/>
        <color theme="1"/>
        <sz val="5.0"/>
      </rPr>
      <t>Gyn-Phy Gel Íntimo 200ml</t>
    </r>
  </si>
  <si>
    <r>
      <rPr>
        <rFont val="Arial MT"/>
        <color theme="1"/>
        <sz val="5.0"/>
      </rPr>
      <t>Gyn-Phy Gel Íntimo 500ml</t>
    </r>
  </si>
  <si>
    <r>
      <rPr>
        <rFont val="Arial MT"/>
        <color theme="1"/>
        <sz val="5.0"/>
      </rPr>
      <t>Gyn-Phy Bruma 50ml</t>
    </r>
  </si>
  <si>
    <r>
      <rPr>
        <rFont val="Arial MT"/>
        <color theme="1"/>
        <sz val="5.0"/>
      </rPr>
      <t>Gyn-Phy 8 100ml</t>
    </r>
  </si>
  <si>
    <r>
      <rPr>
        <rFont val="Arial"/>
        <b/>
        <color rgb="FFFFFFFF"/>
        <sz val="5.0"/>
      </rPr>
      <t>EAU THERMALE - HIDRATACIÓN ROSTRO Y CUERPO</t>
    </r>
  </si>
  <si>
    <r>
      <rPr>
        <rFont val="Arial"/>
        <b/>
        <color rgb="FF0092C5"/>
        <sz val="5.0"/>
      </rPr>
      <t>ROSTRO</t>
    </r>
  </si>
  <si>
    <r>
      <rPr>
        <rFont val="Arial MT"/>
        <color theme="1"/>
        <sz val="5.0"/>
      </rPr>
      <t>Eau Thermale Esencia de Agua Iluminadora 100ml</t>
    </r>
  </si>
  <si>
    <r>
      <rPr>
        <rFont val="Arial MT"/>
        <color theme="1"/>
        <sz val="5.0"/>
      </rPr>
      <t>Eau Thermale Contorno de Ojos de Agua 15ml</t>
    </r>
  </si>
  <si>
    <r>
      <rPr>
        <rFont val="Arial MT"/>
        <color theme="1"/>
        <sz val="5.0"/>
      </rPr>
      <t>Eau Thermale Sérum Booster H.A 30ml</t>
    </r>
  </si>
  <si>
    <r>
      <rPr>
        <rFont val="Arial MT"/>
        <color theme="1"/>
        <sz val="5.0"/>
      </rPr>
      <t>Eau Thermale Gel de Agua 40ml</t>
    </r>
  </si>
  <si>
    <r>
      <rPr>
        <rFont val="Arial MT"/>
        <color theme="1"/>
        <sz val="5.0"/>
      </rPr>
      <t>Eau Thermale Crema de Agua 40ml</t>
    </r>
  </si>
  <si>
    <r>
      <rPr>
        <rFont val="Arial MT"/>
        <color theme="1"/>
        <sz val="5.0"/>
      </rPr>
      <t xml:space="preserve">Eau Thermale Crema de Agua </t>
    </r>
    <r>
      <rPr>
        <rFont val="Arial MT"/>
        <color rgb="FFE06B09"/>
        <sz val="5.0"/>
      </rPr>
      <t xml:space="preserve">SPF20+ </t>
    </r>
    <r>
      <rPr>
        <rFont val="Arial MT"/>
        <color theme="1"/>
        <sz val="5.0"/>
      </rPr>
      <t>40ml</t>
    </r>
  </si>
  <si>
    <r>
      <rPr>
        <rFont val="Arial MT"/>
        <color theme="1"/>
        <sz val="5.0"/>
      </rPr>
      <t>Eau Thermale Crema de Agua Rica 40ml</t>
    </r>
  </si>
  <si>
    <r>
      <rPr>
        <rFont val="Arial MT"/>
        <color theme="1"/>
        <sz val="5.0"/>
      </rPr>
      <t>Eau Thermale Mascarilla de Agua de Noche 50ml</t>
    </r>
  </si>
  <si>
    <r>
      <rPr>
        <rFont val="Arial MT"/>
        <color theme="1"/>
        <sz val="5.0"/>
      </rPr>
      <t>Eau Thermale Stick Labial Hidratante 4g</t>
    </r>
  </si>
  <si>
    <r>
      <rPr>
        <rFont val="Arial MT"/>
        <color theme="1"/>
        <sz val="5.0"/>
      </rPr>
      <t>Eau Thermale Stick Labial Hidratante con polvo de ATU  4g</t>
    </r>
  </si>
  <si>
    <r>
      <rPr>
        <rFont val="Arial"/>
        <b/>
        <color rgb="FF0092C5"/>
        <sz val="5.0"/>
      </rPr>
      <t>CUERPO</t>
    </r>
  </si>
  <si>
    <r>
      <rPr>
        <rFont val="Arial MT"/>
        <color theme="1"/>
        <sz val="5.0"/>
      </rPr>
      <t>Eau Thermale Leche Sedosa 500ml</t>
    </r>
  </si>
  <si>
    <r>
      <rPr>
        <rFont val="Arial MT"/>
        <color theme="1"/>
        <sz val="5.0"/>
      </rPr>
      <t>Eau Thermale Bálsamo Reafirmante 200ml</t>
    </r>
  </si>
  <si>
    <r>
      <rPr>
        <rFont val="Arial MT"/>
        <color theme="1"/>
        <sz val="5.0"/>
      </rPr>
      <t>Eau Thermale Crema de Manos Hidratante 50ml</t>
    </r>
  </si>
  <si>
    <r>
      <rPr>
        <rFont val="Arial"/>
        <b/>
        <color rgb="FFFF5050"/>
        <sz val="5.0"/>
      </rPr>
      <t>HIGIENE</t>
    </r>
  </si>
  <si>
    <r>
      <rPr>
        <rFont val="Arial MT"/>
        <color theme="1"/>
        <sz val="5.0"/>
      </rPr>
      <t>Roseliane Fluido Dermo Limpiador 250ml</t>
    </r>
  </si>
  <si>
    <r>
      <rPr>
        <rFont val="Arial"/>
        <b/>
        <color rgb="FFFF5050"/>
        <sz val="5.0"/>
      </rPr>
      <t>TRATAMIENTOS</t>
    </r>
  </si>
  <si>
    <r>
      <rPr>
        <rFont val="Arial MT"/>
        <color theme="1"/>
        <sz val="5.0"/>
      </rPr>
      <t>Roseliane Sérum Neutralizador de rojeces 30ml</t>
    </r>
  </si>
  <si>
    <r>
      <rPr>
        <rFont val="Arial MT"/>
        <color theme="1"/>
        <sz val="5.0"/>
      </rPr>
      <t>Roseliane Crema Anti-rojeces 40ml</t>
    </r>
  </si>
  <si>
    <r>
      <rPr>
        <rFont val="Arial MT"/>
        <color theme="1"/>
        <sz val="5.0"/>
      </rPr>
      <t>Roseliane Crema Rica Anti-rojeces 40ml</t>
    </r>
  </si>
  <si>
    <r>
      <rPr>
        <rFont val="Arial MT"/>
        <color theme="1"/>
        <sz val="5.0"/>
      </rPr>
      <t>Roseliane Crema Anti-rojeces SPF30+ 40ml</t>
    </r>
  </si>
  <si>
    <r>
      <rPr>
        <rFont val="Arial MT"/>
        <color theme="1"/>
        <sz val="5.0"/>
      </rPr>
      <t>Roseliane CC Cream SPF30+ 40ml</t>
    </r>
  </si>
  <si>
    <r>
      <rPr>
        <rFont val="Arial MT"/>
        <color theme="1"/>
        <sz val="5.0"/>
      </rPr>
      <t>Roseliane CC Cream SPF50+ 40ml</t>
    </r>
  </si>
  <si>
    <r>
      <rPr>
        <rFont val="Arial"/>
        <b/>
        <color rgb="FFFFFFFF"/>
        <sz val="5.0"/>
      </rPr>
      <t>TOLEDERM -  PIEL ALÉRGICA, INTOLERANTE, HIPER-REACTIVA</t>
    </r>
  </si>
  <si>
    <r>
      <rPr>
        <rFont val="Arial"/>
        <b/>
        <color rgb="FFFF5050"/>
        <sz val="5.0"/>
      </rPr>
      <t>HIGIENE</t>
    </r>
  </si>
  <si>
    <r>
      <rPr>
        <rFont val="Arial MT"/>
        <color theme="1"/>
        <sz val="5.0"/>
      </rPr>
      <t>Tolederm Gel-Leche Desmaquillante 150ml</t>
    </r>
  </si>
  <si>
    <r>
      <rPr>
        <rFont val="Arial"/>
        <b/>
        <color rgb="FFFF5050"/>
        <sz val="5.0"/>
      </rPr>
      <t>TRATAMIENTOS</t>
    </r>
  </si>
  <si>
    <r>
      <rPr>
        <rFont val="Arial MT"/>
        <color theme="1"/>
        <sz val="5.0"/>
      </rPr>
      <t>Tolederm Contorno de Ojos 15ML</t>
    </r>
  </si>
  <si>
    <r>
      <rPr>
        <rFont val="Arial MT"/>
        <color theme="1"/>
        <sz val="5.0"/>
      </rPr>
      <t>Tolederm Crema Ligera 40ML</t>
    </r>
  </si>
  <si>
    <r>
      <rPr>
        <rFont val="Arial MT"/>
        <color theme="1"/>
        <sz val="5.0"/>
      </rPr>
      <t>Tolederm Crema Rica 40ML</t>
    </r>
  </si>
  <si>
    <r>
      <rPr>
        <rFont val="Arial"/>
        <b/>
        <color theme="1"/>
        <sz val="5.0"/>
      </rPr>
      <t>ML</t>
    </r>
  </si>
  <si>
    <r>
      <rPr>
        <rFont val="Arial"/>
        <b/>
        <color theme="1"/>
        <sz val="5.0"/>
      </rPr>
      <t>SAP</t>
    </r>
  </si>
  <si>
    <r>
      <rPr>
        <rFont val="Arial"/>
        <b/>
        <color theme="1"/>
        <sz val="5.0"/>
      </rPr>
      <t>CN</t>
    </r>
  </si>
  <si>
    <r>
      <rPr>
        <rFont val="Arial"/>
        <b/>
        <color theme="1"/>
        <sz val="5.0"/>
      </rPr>
      <t>EAN</t>
    </r>
  </si>
  <si>
    <r>
      <rPr>
        <rFont val="Arial"/>
        <b/>
        <color theme="1"/>
        <sz val="5.0"/>
      </rPr>
      <t>PVL 26</t>
    </r>
  </si>
  <si>
    <r>
      <rPr>
        <rFont val="Arial"/>
        <b/>
        <color theme="1"/>
        <sz val="5.0"/>
      </rPr>
      <t>PVPR* 26</t>
    </r>
  </si>
  <si>
    <r>
      <rPr>
        <rFont val="Arial"/>
        <b/>
        <color theme="1"/>
        <sz val="5.0"/>
      </rPr>
      <t>HYSEAC - PIEL GRASA CON TENDENCIA ACNÉICA</t>
    </r>
  </si>
  <si>
    <r>
      <rPr>
        <rFont val="Arial"/>
        <b/>
        <color rgb="FF00927B"/>
        <sz val="5.0"/>
      </rPr>
      <t>HIGIENE</t>
    </r>
  </si>
  <si>
    <r>
      <rPr>
        <rFont val="Arial MT"/>
        <color theme="1"/>
        <sz val="5.0"/>
      </rPr>
      <t>Hyseac Aceite Desmaquillante Purificante 100ml</t>
    </r>
  </si>
  <si>
    <r>
      <rPr>
        <rFont val="Arial MT"/>
        <color theme="1"/>
        <sz val="5.0"/>
      </rPr>
      <t>Hyseac Gel Limpiador Anti-imperfecciones 150ml</t>
    </r>
  </si>
  <si>
    <r>
      <rPr>
        <rFont val="Arial MT"/>
        <color theme="1"/>
        <sz val="5.0"/>
      </rPr>
      <t>Hyséac Gel Limpiador 500ml</t>
    </r>
  </si>
  <si>
    <r>
      <rPr>
        <rFont val="Arial MT"/>
        <color theme="1"/>
        <sz val="5.0"/>
      </rPr>
      <t>Hyseac Hydra - Crema Limpiadora Calmante 150ml</t>
    </r>
  </si>
  <si>
    <r>
      <rPr>
        <rFont val="Arial"/>
        <b/>
        <color rgb="FF00927B"/>
        <sz val="5.0"/>
      </rPr>
      <t>TRATAMIENTOS</t>
    </r>
  </si>
  <si>
    <r>
      <rPr>
        <rFont val="Arial MT"/>
        <color theme="1"/>
        <sz val="5.0"/>
      </rPr>
      <t>Hyseac Tónico Peeling Purificante 250ml</t>
    </r>
  </si>
  <si>
    <r>
      <rPr>
        <rFont val="Arial MT"/>
        <color theme="1"/>
        <sz val="5.0"/>
      </rPr>
      <t>Hyseac Mascarilla Exfoliante 100ml</t>
    </r>
  </si>
  <si>
    <r>
      <rPr>
        <rFont val="Arial MT"/>
        <color rgb="FF000000"/>
        <sz val="5.0"/>
      </rPr>
      <t xml:space="preserve">Hyseac Mascarilla Purificante </t>
    </r>
    <r>
      <rPr>
        <rFont val="Arial"/>
        <i/>
        <color rgb="FF000000"/>
        <sz val="5.0"/>
      </rPr>
      <t xml:space="preserve">Peel-Off </t>
    </r>
    <r>
      <rPr>
        <rFont val="Arial MT"/>
        <color rgb="FF000000"/>
        <sz val="5.0"/>
      </rPr>
      <t>50ml</t>
    </r>
  </si>
  <si>
    <r>
      <rPr>
        <rFont val="Arial MT"/>
        <color theme="1"/>
        <sz val="5.0"/>
      </rPr>
      <t>Hyseac Sérum Booster Piel Nueva 30ml</t>
    </r>
  </si>
  <si>
    <r>
      <rPr>
        <rFont val="Arial MT"/>
        <color theme="1"/>
        <sz val="5.0"/>
      </rPr>
      <t>Hyseac Mat' Gel-Crema Matificante 40ml</t>
    </r>
  </si>
  <si>
    <r>
      <rPr>
        <rFont val="Arial MT"/>
        <color theme="1"/>
        <sz val="5.0"/>
      </rPr>
      <t>Hyseac 3-Regul+ Cuidado Global Anti-imperfecciones 40ml</t>
    </r>
  </si>
  <si>
    <r>
      <rPr>
        <rFont val="Arial MT"/>
        <color theme="1"/>
        <sz val="5.0"/>
      </rPr>
      <t xml:space="preserve">Hyseac 3-Regul Cuidado Global Con Color </t>
    </r>
    <r>
      <rPr>
        <rFont val="Arial MT"/>
        <color rgb="FFE06B09"/>
        <sz val="5.0"/>
      </rPr>
      <t xml:space="preserve">SPF30+ </t>
    </r>
    <r>
      <rPr>
        <rFont val="Arial MT"/>
        <color theme="1"/>
        <sz val="5.0"/>
      </rPr>
      <t>40ml</t>
    </r>
  </si>
  <si>
    <r>
      <rPr>
        <rFont val="Arial MT"/>
        <color theme="1"/>
        <sz val="5.0"/>
      </rPr>
      <t>Hyseac Hydra - Crema calmante 40ml</t>
    </r>
  </si>
  <si>
    <r>
      <rPr>
        <rFont val="Arial MT"/>
        <color theme="1"/>
        <sz val="5.0"/>
      </rPr>
      <t>Hyseac Gel SOS Secante 15ml</t>
    </r>
  </si>
  <si>
    <r>
      <rPr>
        <rFont val="Arial MT"/>
        <color theme="1"/>
        <sz val="5.0"/>
      </rPr>
      <t>Hyseac Pasta SOS Tratamiento Localizado 15g</t>
    </r>
  </si>
  <si>
    <r>
      <rPr>
        <rFont val="Arial MT"/>
        <color rgb="FF00927B"/>
        <sz val="5.0"/>
      </rPr>
      <t>FOTOPROTECCIÓN</t>
    </r>
  </si>
  <si>
    <r>
      <rPr>
        <rFont val="Arial MT"/>
        <color theme="1"/>
        <sz val="5.0"/>
      </rPr>
      <t xml:space="preserve">Hyseac Fluido Matificante </t>
    </r>
    <r>
      <rPr>
        <rFont val="Arial MT"/>
        <color rgb="FFE06B09"/>
        <sz val="5.0"/>
      </rPr>
      <t xml:space="preserve">SPF50+ </t>
    </r>
    <r>
      <rPr>
        <rFont val="Arial MT"/>
        <color theme="1"/>
        <sz val="5.0"/>
      </rPr>
      <t>50ml</t>
    </r>
  </si>
  <si>
    <r>
      <rPr>
        <rFont val="Arial"/>
        <b/>
        <color rgb="FF4F81BB"/>
        <sz val="5.0"/>
      </rPr>
      <t xml:space="preserve">¡NUEVO! </t>
    </r>
    <r>
      <rPr>
        <rFont val="Arial MT"/>
        <color rgb="FF000000"/>
        <sz val="5.0"/>
      </rPr>
      <t xml:space="preserve">Hyseac 3-Regul+ </t>
    </r>
    <r>
      <rPr>
        <rFont val="Arial MT"/>
        <color rgb="FFE06B09"/>
        <sz val="5.0"/>
      </rPr>
      <t xml:space="preserve">SPF50+ </t>
    </r>
    <r>
      <rPr>
        <rFont val="Arial MT"/>
        <color rgb="FF000000"/>
        <sz val="5.0"/>
      </rPr>
      <t>50ml</t>
    </r>
  </si>
  <si>
    <r>
      <rPr>
        <rFont val="Arial"/>
        <b/>
        <color rgb="FFFFFFFF"/>
        <sz val="5.0"/>
      </rPr>
      <t>CICA DAILY - PIEL FRÁGIL. REPARACIÓN DIARIA</t>
    </r>
  </si>
  <si>
    <r>
      <rPr>
        <rFont val="Arial MT"/>
        <color theme="1"/>
        <sz val="5.0"/>
      </rPr>
      <t>CICA-DAILY Sérum Reparador Intenso 30ml</t>
    </r>
  </si>
  <si>
    <r>
      <rPr>
        <rFont val="Arial MT"/>
        <color theme="1"/>
        <sz val="5.0"/>
      </rPr>
      <t>CICA-DAILY Gel Crema 40ml</t>
    </r>
  </si>
  <si>
    <r>
      <rPr>
        <rFont val="Arial MT"/>
        <color theme="1"/>
        <sz val="5.0"/>
      </rPr>
      <t>CICA-DAILY Crema Reparadora Concentrada 50ml</t>
    </r>
  </si>
  <si>
    <r>
      <rPr>
        <rFont val="Arial MT"/>
        <color theme="1"/>
        <sz val="5.0"/>
      </rPr>
      <t>CICA-DAILY Crema Reparadora Concentrada RECARGA 50ml</t>
    </r>
  </si>
  <si>
    <r>
      <rPr>
        <rFont val="Arial"/>
        <b/>
        <color rgb="FFFFFFFF"/>
        <sz val="5.0"/>
      </rPr>
      <t>BARIEDERM - PIEL DAÑADA E IRRITADA. REPARACIÓN CUTÁNEA</t>
    </r>
  </si>
  <si>
    <r>
      <rPr>
        <rFont val="Arial"/>
        <b/>
        <color rgb="FF006EC0"/>
        <sz val="5.0"/>
      </rPr>
      <t>PIEL FRÁGIL E IRRITADA. TRATAMIENTOS</t>
    </r>
  </si>
  <si>
    <r>
      <rPr>
        <rFont val="Arial MT"/>
        <color theme="1"/>
        <sz val="5.0"/>
      </rPr>
      <t>Bariederm Crema Aislante y Reparadora 75ml</t>
    </r>
  </si>
  <si>
    <r>
      <rPr>
        <rFont val="Arial MT"/>
        <color theme="1"/>
        <sz val="5.0"/>
      </rPr>
      <t>Bariederm CICA - Oil Aceite Antiestrías 100ml</t>
    </r>
  </si>
  <si>
    <r>
      <rPr>
        <rFont val="Arial MT"/>
        <color theme="1"/>
        <sz val="5.0"/>
      </rPr>
      <t>Bariederm CICA Ungüento Aislante y Reparador 40g</t>
    </r>
  </si>
  <si>
    <r>
      <rPr>
        <rFont val="Arial MT"/>
        <color theme="1"/>
        <sz val="5.0"/>
      </rPr>
      <t>Bariederm CICA Crema de Manos Reparadora 50ml</t>
    </r>
  </si>
  <si>
    <r>
      <rPr>
        <rFont val="Arial MT"/>
        <color theme="1"/>
        <sz val="5.0"/>
      </rPr>
      <t>Bariederm CICA Stick Aislante y Reparador 22g</t>
    </r>
  </si>
  <si>
    <r>
      <rPr>
        <rFont val="Arial"/>
        <b/>
        <color rgb="FF006EC0"/>
        <sz val="5.0"/>
      </rPr>
      <t>REPARACIÓN CUTÁNEA. HIGIENE Y TRATAMIENTOS</t>
    </r>
  </si>
  <si>
    <r>
      <rPr>
        <rFont val="Arial MT"/>
        <color theme="1"/>
        <sz val="5.0"/>
      </rPr>
      <t>Bariederm CICA Gel Limpiador 200ml</t>
    </r>
  </si>
  <si>
    <r>
      <rPr>
        <rFont val="Arial MT"/>
        <color theme="1"/>
        <sz val="5.0"/>
      </rPr>
      <t>Bariederm CICA Crema 40ml</t>
    </r>
  </si>
  <si>
    <r>
      <rPr>
        <rFont val="Arial MT"/>
        <color theme="1"/>
        <sz val="5.0"/>
      </rPr>
      <t>Bariederm CICA Crema SPF50+ 40ml</t>
    </r>
  </si>
  <si>
    <r>
      <rPr>
        <rFont val="Arial MT"/>
        <color theme="1"/>
        <sz val="5.0"/>
      </rPr>
      <t>Bariederm CICA Spray 100ml</t>
    </r>
  </si>
  <si>
    <r>
      <rPr>
        <rFont val="Arial MT"/>
        <color theme="1"/>
        <sz val="5.0"/>
      </rPr>
      <t>Bariederm CICA Labios 15ml</t>
    </r>
  </si>
  <si>
    <r>
      <rPr>
        <rFont val="Arial"/>
        <b/>
        <color rgb="FFFFFFFF"/>
        <sz val="5.0"/>
      </rPr>
      <t>XEMOSE C8+ PIEL MUY SECA CON TENDENCIA ATÓPICA</t>
    </r>
  </si>
  <si>
    <r>
      <rPr>
        <rFont val="Arial"/>
        <b/>
        <color rgb="FF001F5F"/>
        <sz val="5.0"/>
      </rPr>
      <t>HIGIENE</t>
    </r>
  </si>
  <si>
    <r>
      <rPr>
        <rFont val="Arial MT"/>
        <color theme="1"/>
        <sz val="5.0"/>
      </rPr>
      <t>Xemose C8+ Aceite Limpiador Anti-picor 500ml</t>
    </r>
  </si>
  <si>
    <r>
      <rPr>
        <rFont val="Arial MT"/>
        <color theme="1"/>
        <sz val="5.0"/>
      </rPr>
      <t>Xemose C8+ Aceite Limpiador Anti-picor 1000ml</t>
    </r>
  </si>
  <si>
    <r>
      <rPr>
        <rFont val="Arial MT"/>
        <color theme="1"/>
        <sz val="5.0"/>
      </rPr>
      <t>Xemose C8+ Syndet Limpiador Suave 500ml</t>
    </r>
  </si>
  <si>
    <r>
      <rPr>
        <rFont val="Arial"/>
        <b/>
        <color rgb="FF001F5F"/>
        <sz val="5.0"/>
      </rPr>
      <t>TRATAMIENTOS</t>
    </r>
  </si>
  <si>
    <r>
      <rPr>
        <rFont val="Arial MT"/>
        <color theme="1"/>
        <sz val="5.0"/>
      </rPr>
      <t>Xemose PSO Concentrado Calmante 150ml</t>
    </r>
  </si>
  <si>
    <r>
      <rPr>
        <rFont val="Arial MT"/>
        <color theme="1"/>
        <sz val="5.0"/>
      </rPr>
      <t>Xemose C8+ Bruma SOS Anti-picor 200ml</t>
    </r>
  </si>
  <si>
    <r>
      <rPr>
        <rFont val="Arial MT"/>
        <color theme="1"/>
        <sz val="5.0"/>
      </rPr>
      <t>Xemose C8+ Crema Relipidizante Anti-picor 400ml</t>
    </r>
  </si>
  <si>
    <r>
      <rPr>
        <rFont val="Arial MT"/>
        <color theme="1"/>
        <sz val="5.0"/>
      </rPr>
      <t>Xemose C8+ Bálsamo Relipidizante Anti-picor 500ml</t>
    </r>
  </si>
  <si>
    <r>
      <rPr>
        <rFont val="Arial MT"/>
        <color theme="1"/>
        <sz val="5.0"/>
      </rPr>
      <t>Xemose C8+ Cerato Relipidizante Anti-picor 200ml</t>
    </r>
  </si>
  <si>
    <r>
      <rPr>
        <rFont val="Arial MT"/>
        <color theme="1"/>
        <sz val="5.0"/>
      </rPr>
      <t>Xemose C8+ Crema Facial Calmante 40ml</t>
    </r>
  </si>
  <si>
    <r>
      <rPr>
        <rFont val="Arial MT"/>
        <color theme="1"/>
        <sz val="5.0"/>
      </rPr>
      <t>Xemose C8+ Cuidado para párpados calmante 15ml</t>
    </r>
  </si>
  <si>
    <r>
      <rPr>
        <rFont val="Arial MT"/>
        <color theme="1"/>
        <sz val="5.0"/>
      </rPr>
      <t>Xemose Stick Labial 4g</t>
    </r>
  </si>
  <si>
    <r>
      <rPr>
        <rFont val="Arial"/>
        <b/>
        <color rgb="FFFFFFFF"/>
        <sz val="5.0"/>
      </rPr>
      <t>TRATAMIENTOS ESPECÍFICOS</t>
    </r>
  </si>
  <si>
    <r>
      <rPr>
        <rFont val="Arial MT"/>
        <color theme="1"/>
        <sz val="5.0"/>
      </rPr>
      <t>Keratosane 30 75ml</t>
    </r>
  </si>
  <si>
    <r>
      <rPr>
        <rFont val="Arial MT"/>
        <color theme="1"/>
        <sz val="5.0"/>
      </rPr>
      <t>Pruriced Crema 100ml</t>
    </r>
  </si>
  <si>
    <r>
      <rPr>
        <rFont val="Arial MT"/>
        <color theme="1"/>
        <sz val="5.0"/>
      </rPr>
      <t>Pruriced Gel 100ml</t>
    </r>
  </si>
  <si>
    <r>
      <rPr>
        <rFont val="Arial MT"/>
        <color theme="1"/>
        <sz val="5.0"/>
      </rPr>
      <t>Pruriced Roll on Post-pica 15ml</t>
    </r>
  </si>
  <si>
    <r>
      <rPr>
        <rFont val="Arial"/>
        <b/>
        <color rgb="FFFFFFFF"/>
        <sz val="5.0"/>
      </rPr>
      <t>DS. Y DS. HAIR</t>
    </r>
  </si>
  <si>
    <r>
      <rPr>
        <rFont val="Arial MT"/>
        <color theme="1"/>
        <sz val="5.0"/>
      </rPr>
      <t>DS Emulsión 40ml</t>
    </r>
  </si>
  <si>
    <r>
      <rPr>
        <rFont val="Arial MT"/>
        <color theme="1"/>
        <sz val="5.0"/>
      </rPr>
      <t>DS Gel Limpiador 150ml</t>
    </r>
  </si>
  <si>
    <r>
      <rPr>
        <rFont val="Arial MT"/>
        <color theme="1"/>
        <sz val="5.0"/>
      </rPr>
      <t>DS Loción 100ml</t>
    </r>
  </si>
  <si>
    <r>
      <rPr>
        <rFont val="Arial MT"/>
        <color theme="1"/>
        <sz val="5.0"/>
      </rPr>
      <t>DS Hair Champú Suave Regulador 200ml</t>
    </r>
  </si>
  <si>
    <r>
      <rPr>
        <rFont val="Arial MT"/>
        <color theme="1"/>
        <sz val="5.0"/>
      </rPr>
      <t>DS Hair Champú Suave Regulador 500ml</t>
    </r>
  </si>
  <si>
    <r>
      <rPr>
        <rFont val="Arial MT"/>
        <color theme="1"/>
        <sz val="5.0"/>
      </rPr>
      <t>DS Hair Champú Tratante Anticaspa 200ml</t>
    </r>
  </si>
  <si>
    <r>
      <rPr>
        <rFont val="Arial MT"/>
        <color theme="1"/>
        <sz val="5.0"/>
      </rPr>
      <t>DS Hair Champú de Tratamiento Queratorreductor 150ml</t>
    </r>
  </si>
  <si>
    <r>
      <rPr>
        <rFont val="Arial"/>
        <b/>
        <color theme="1"/>
        <sz val="5.0"/>
      </rPr>
      <t>ML</t>
    </r>
  </si>
  <si>
    <r>
      <rPr>
        <rFont val="Arial"/>
        <b/>
        <color theme="1"/>
        <sz val="5.0"/>
      </rPr>
      <t>SAP</t>
    </r>
  </si>
  <si>
    <r>
      <rPr>
        <rFont val="Arial"/>
        <b/>
        <color theme="1"/>
        <sz val="5.0"/>
      </rPr>
      <t>CN</t>
    </r>
  </si>
  <si>
    <r>
      <rPr>
        <rFont val="Arial"/>
        <b/>
        <color theme="1"/>
        <sz val="5.0"/>
      </rPr>
      <t>EAN</t>
    </r>
  </si>
  <si>
    <r>
      <rPr>
        <rFont val="Arial"/>
        <b/>
        <color theme="1"/>
        <sz val="5.0"/>
      </rPr>
      <t>PVL 26</t>
    </r>
  </si>
  <si>
    <r>
      <rPr>
        <rFont val="Arial"/>
        <b/>
        <color theme="1"/>
        <sz val="5.0"/>
      </rPr>
      <t>PVPR* 26</t>
    </r>
  </si>
  <si>
    <r>
      <rPr>
        <rFont val="Arial"/>
        <b/>
        <color rgb="FFFFFFFF"/>
        <sz val="5.0"/>
      </rPr>
      <t>AGE LIFT- TRATAMIENTOS ANTIEDAD</t>
    </r>
  </si>
  <si>
    <r>
      <rPr>
        <rFont val="Arial MT"/>
        <color theme="1"/>
        <sz val="5.0"/>
      </rPr>
      <t>Age Lift Tratamiento Anti-arrugas Contorno de Ojos 15ml</t>
    </r>
  </si>
  <si>
    <r>
      <rPr>
        <rFont val="Arial MT"/>
        <color theme="1"/>
        <sz val="5.0"/>
      </rPr>
      <t>Age Lift Sérum Intensivo Reafirmante Anti-arrugas 30ml</t>
    </r>
  </si>
  <si>
    <r>
      <rPr>
        <rFont val="Arial MT"/>
        <color theme="1"/>
        <sz val="5.0"/>
      </rPr>
      <t>Age Lift Crema de Día Reafirmante Anti-arrugas 40ml</t>
    </r>
  </si>
  <si>
    <r>
      <rPr>
        <rFont val="Arial MT"/>
        <color theme="1"/>
        <sz val="5.0"/>
      </rPr>
      <t>Age Lift Crema de Noche Revitalizante Anti-arrugas 40ml</t>
    </r>
  </si>
  <si>
    <r>
      <rPr>
        <rFont val="Arial"/>
        <b/>
        <color rgb="FFFFFFFF"/>
        <sz val="5.0"/>
      </rPr>
      <t>AGE ABSOLU - TRATAMIENTOS ANTIEDAD</t>
    </r>
  </si>
  <si>
    <r>
      <rPr>
        <rFont val="Arial MT"/>
        <color theme="1"/>
        <sz val="5.0"/>
      </rPr>
      <t>Age Absolu Contornos de ojos 15ml</t>
    </r>
  </si>
  <si>
    <r>
      <rPr>
        <rFont val="Arial MT"/>
        <color theme="1"/>
        <sz val="5.0"/>
      </rPr>
      <t>Age Absolu Sérum Microredensificante Booster colágeno 30ml</t>
    </r>
  </si>
  <si>
    <r>
      <rPr>
        <rFont val="Arial MT"/>
        <color theme="1"/>
        <sz val="5.0"/>
      </rPr>
      <t>Age Absolu Crema Rosa Redensificante 50ml</t>
    </r>
  </si>
  <si>
    <r>
      <rPr>
        <rFont val="Arial MT"/>
        <color theme="1"/>
        <sz val="5.0"/>
      </rPr>
      <t>Age Absolu Crema de Noche Redensificante 50ml</t>
    </r>
  </si>
  <si>
    <r>
      <rPr>
        <rFont val="Arial"/>
        <b/>
        <color theme="1"/>
        <sz val="5.0"/>
      </rPr>
      <t>DEPIDERM - ANTIMANCHAS Y LUMINOSIDAD DE LA PIEL</t>
    </r>
  </si>
  <si>
    <r>
      <rPr>
        <rFont val="Arial MT"/>
        <color theme="1"/>
        <sz val="5.0"/>
      </rPr>
      <t>Depiderm Espuma limpiadora iluminadora 100ml</t>
    </r>
  </si>
  <si>
    <r>
      <rPr>
        <rFont val="Arial MT"/>
        <color theme="1"/>
        <sz val="5.0"/>
      </rPr>
      <t>Depiderm Contorno de Ojos Corrector 15ml</t>
    </r>
  </si>
  <si>
    <r>
      <rPr>
        <rFont val="Arial MT"/>
        <color theme="1"/>
        <sz val="5.0"/>
      </rPr>
      <t>Depiderm Sérum Antimanchas Booster Ilminador 30ml</t>
    </r>
  </si>
  <si>
    <r>
      <rPr>
        <rFont val="Arial MT"/>
        <color theme="1"/>
        <sz val="5.0"/>
      </rPr>
      <t>Depiderm Cuidado de Día Antimanchas SPF50+ 30ml</t>
    </r>
  </si>
  <si>
    <r>
      <rPr>
        <rFont val="Arial MT"/>
        <color theme="1"/>
        <sz val="5.0"/>
      </rPr>
      <t>Depiderm Tratamiento intensivo antimanchas 30ml</t>
    </r>
  </si>
  <si>
    <r>
      <rPr>
        <rFont val="Arial"/>
        <b/>
        <color rgb="FFFFFFFF"/>
        <sz val="5.0"/>
      </rPr>
      <t>1eros CUIDADOS BEBÉ</t>
    </r>
  </si>
  <si>
    <r>
      <rPr>
        <rFont val="Arial"/>
        <b/>
        <color rgb="FF5673AF"/>
        <sz val="5.0"/>
      </rPr>
      <t>HIGIENE</t>
    </r>
  </si>
  <si>
    <r>
      <rPr>
        <rFont val="Arial MT"/>
        <color theme="1"/>
        <sz val="5.0"/>
      </rPr>
      <t>1er Aceite Limpiador Calmante 500ml</t>
    </r>
  </si>
  <si>
    <r>
      <rPr>
        <rFont val="Arial MT"/>
        <color theme="1"/>
        <sz val="5.0"/>
      </rPr>
      <t>1era Agua Termal 150ml</t>
    </r>
  </si>
  <si>
    <r>
      <rPr>
        <rFont val="Arial MT"/>
        <color theme="1"/>
        <sz val="5.0"/>
      </rPr>
      <t>1era Crema Lavante Sólida 100g</t>
    </r>
  </si>
  <si>
    <r>
      <rPr>
        <rFont val="Arial MT"/>
        <color theme="1"/>
        <sz val="5.0"/>
      </rPr>
      <t>1era Crema Lavante 500ml</t>
    </r>
  </si>
  <si>
    <r>
      <rPr>
        <rFont val="Arial MT"/>
        <color theme="1"/>
        <sz val="5.0"/>
      </rPr>
      <t>1er Aceite Limpiador 500ml</t>
    </r>
  </si>
  <si>
    <r>
      <rPr>
        <rFont val="Arial MT"/>
        <color theme="1"/>
        <sz val="5.0"/>
      </rPr>
      <t>1er Champú 200ml</t>
    </r>
  </si>
  <si>
    <r>
      <rPr>
        <rFont val="Arial MT"/>
        <color theme="1"/>
        <sz val="5.0"/>
      </rPr>
      <t>1er Agua Limpiadora 500ml</t>
    </r>
  </si>
  <si>
    <r>
      <rPr>
        <rFont val="Arial MT"/>
        <color theme="1"/>
        <sz val="5.0"/>
      </rPr>
      <t>1eras Toallitas Limpiadoras 1x70uds</t>
    </r>
  </si>
  <si>
    <r>
      <rPr>
        <rFont val="Arial MT"/>
        <color theme="1"/>
        <sz val="5.0"/>
      </rPr>
      <t>1era Fragancia 50ml</t>
    </r>
  </si>
  <si>
    <r>
      <rPr>
        <rFont val="Arial"/>
        <b/>
        <color rgb="FF5673AF"/>
        <sz val="5.0"/>
      </rPr>
      <t>TRATAMIENTOS</t>
    </r>
  </si>
  <si>
    <r>
      <rPr>
        <rFont val="Arial MT"/>
        <color theme="1"/>
        <sz val="5.0"/>
      </rPr>
      <t>1er Bálsamo Óleo-Calmante Antiprurito 200ml</t>
    </r>
  </si>
  <si>
    <r>
      <rPr>
        <rFont val="Arial MT"/>
        <color theme="1"/>
        <sz val="5.0"/>
      </rPr>
      <t>1er Change Tratamiento Aislante, Calmante y Reparador 100ml</t>
    </r>
  </si>
  <si>
    <r>
      <rPr>
        <rFont val="Arial MT"/>
        <color theme="1"/>
        <sz val="5.0"/>
      </rPr>
      <t>1er Cold Cream Tratamiento Hidratante 75ml</t>
    </r>
  </si>
  <si>
    <r>
      <rPr>
        <rFont val="Arial MT"/>
        <color theme="1"/>
        <sz val="5.0"/>
      </rPr>
      <t>1era Leche Hidratante 500ml</t>
    </r>
  </si>
  <si>
    <r>
      <rPr>
        <rFont val="Arial MT"/>
        <color theme="1"/>
        <sz val="5.0"/>
      </rPr>
      <t>1er Cuidado Costra Láctea 40ml</t>
    </r>
  </si>
  <si>
    <r>
      <rPr>
        <rFont val="Arial MT"/>
        <color theme="1"/>
        <sz val="5.0"/>
      </rPr>
      <t>1er Cuidado Peri-Oral 30ml</t>
    </r>
  </si>
  <si>
    <r>
      <rPr>
        <rFont val="Arial MT"/>
        <color theme="1"/>
        <sz val="5.0"/>
      </rPr>
      <t>1er Spray CU-ZN+ Tratamiento Zonas Húmedas 100ml</t>
    </r>
  </si>
  <si>
    <r>
      <rPr>
        <rFont val="Arial MT"/>
        <color theme="1"/>
        <sz val="5.0"/>
      </rPr>
      <t>Suero fisiológico monodosis 5ml x 15 uds</t>
    </r>
  </si>
  <si>
    <r>
      <rPr>
        <rFont val="Arial"/>
        <b/>
        <color rgb="FF5673AF"/>
        <sz val="5.0"/>
      </rPr>
      <t>FOTOPROTECCIÓN</t>
    </r>
  </si>
  <si>
    <r>
      <rPr>
        <rFont val="Arial MT"/>
        <color theme="1"/>
        <sz val="5.0"/>
      </rPr>
      <t xml:space="preserve">1era Crema Mineral </t>
    </r>
    <r>
      <rPr>
        <rFont val="Arial MT"/>
        <color rgb="FFE06B09"/>
        <sz val="5.0"/>
      </rPr>
      <t>SPF50</t>
    </r>
    <r>
      <rPr>
        <rFont val="Arial MT"/>
        <color rgb="FFF79446"/>
        <sz val="5.0"/>
      </rPr>
      <t xml:space="preserve">+ </t>
    </r>
    <r>
      <rPr>
        <rFont val="Arial MT"/>
        <color theme="1"/>
        <sz val="5.0"/>
      </rPr>
      <t>50ml</t>
    </r>
  </si>
  <si>
    <r>
      <rPr>
        <rFont val="Arial"/>
        <b/>
        <color theme="1"/>
        <sz val="5.0"/>
      </rPr>
      <t>BARIESUN - PROTECCIÓN SOLAR</t>
    </r>
  </si>
  <si>
    <r>
      <rPr>
        <rFont val="Arial"/>
        <b/>
        <color theme="1"/>
        <sz val="5.0"/>
      </rPr>
      <t>FOTOPROTECCIÓN</t>
    </r>
  </si>
  <si>
    <r>
      <rPr>
        <rFont val="Arial"/>
        <b/>
        <color theme="1"/>
        <sz val="5.0"/>
      </rPr>
      <t>ESPECÍFICA</t>
    </r>
  </si>
  <si>
    <r>
      <rPr>
        <rFont val="Arial MT"/>
        <color theme="1"/>
        <sz val="5.0"/>
      </rPr>
      <t>Bariesun 100 SPF50+ Piel Intolerante al Sol 50ml</t>
    </r>
  </si>
  <si>
    <r>
      <rPr>
        <rFont val="Arial MT"/>
        <color theme="1"/>
        <sz val="5.0"/>
      </rPr>
      <t>Bariesun Fluido Antimanchas SP SPF50+ 40ml</t>
    </r>
  </si>
  <si>
    <r>
      <rPr>
        <rFont val="Arial MT"/>
        <color theme="1"/>
        <sz val="5.0"/>
      </rPr>
      <t>Bariesun Leche Niños SPF50+ 100ml</t>
    </r>
  </si>
  <si>
    <r>
      <rPr>
        <rFont val="Arial MT"/>
        <color theme="1"/>
        <sz val="5.0"/>
      </rPr>
      <t>Bariesun Spray Niños SPF50+ 200ml</t>
    </r>
  </si>
  <si>
    <r>
      <rPr>
        <rFont val="Arial MT"/>
        <color theme="1"/>
        <sz val="5.0"/>
      </rPr>
      <t>Bariesun Stick Labial SPF30 4g</t>
    </r>
  </si>
  <si>
    <r>
      <rPr>
        <rFont val="Arial"/>
        <b/>
        <color theme="1"/>
        <sz val="5.0"/>
      </rPr>
      <t>FILTROS MINERALES</t>
    </r>
  </si>
  <si>
    <r>
      <rPr>
        <rFont val="Arial MT"/>
        <color theme="1"/>
        <sz val="5.0"/>
      </rPr>
      <t>Bariesun Stick Mineral SPF50+ 18g</t>
    </r>
  </si>
  <si>
    <r>
      <rPr>
        <rFont val="Arial MT"/>
        <color theme="1"/>
        <sz val="5.0"/>
      </rPr>
      <t>Bariesun Crema Mineral SPF50+ 100ml</t>
    </r>
  </si>
  <si>
    <r>
      <rPr>
        <rFont val="Arial"/>
        <b/>
        <color theme="1"/>
        <sz val="5.0"/>
      </rPr>
      <t>SPF50+</t>
    </r>
  </si>
  <si>
    <r>
      <rPr>
        <rFont val="Arial MT"/>
        <color theme="1"/>
        <sz val="5.0"/>
      </rPr>
      <t>Bariesun Crema SPF50+ 50ml</t>
    </r>
  </si>
  <si>
    <r>
      <rPr>
        <rFont val="Arial MT"/>
        <color theme="1"/>
        <sz val="5.0"/>
      </rPr>
      <t>Bariesun Crema SPF50+ Color Dorado 50ml</t>
    </r>
  </si>
  <si>
    <r>
      <rPr>
        <rFont val="Arial MT"/>
        <color theme="1"/>
        <sz val="5.0"/>
      </rPr>
      <t>Bariesun Crema Sin Perfume SPF50+ 50ml</t>
    </r>
  </si>
  <si>
    <r>
      <rPr>
        <rFont val="Arial MT"/>
        <color theme="1"/>
        <sz val="5.0"/>
      </rPr>
      <t>Bariesun Fluido Ultra-ligero SP SPF50+ 30ml</t>
    </r>
  </si>
  <si>
    <r>
      <rPr>
        <rFont val="Arial"/>
        <b/>
        <color rgb="FF4F81BB"/>
        <sz val="5.0"/>
      </rPr>
      <t xml:space="preserve">¡NUEVO! </t>
    </r>
    <r>
      <rPr>
        <rFont val="Arial MT"/>
        <color rgb="FF000000"/>
        <sz val="5.0"/>
      </rPr>
      <t xml:space="preserve">Bariesun Aqua Fluído Ultra-mat </t>
    </r>
    <r>
      <rPr>
        <rFont val="Arial MT"/>
        <color rgb="FFE06B09"/>
        <sz val="5.0"/>
      </rPr>
      <t xml:space="preserve">SPF50+ </t>
    </r>
    <r>
      <rPr>
        <rFont val="Arial MT"/>
        <color rgb="FF000000"/>
        <sz val="5.0"/>
      </rPr>
      <t>50ml</t>
    </r>
  </si>
  <si>
    <r>
      <rPr>
        <rFont val="Arial MT"/>
        <color theme="1"/>
        <sz val="5.0"/>
      </rPr>
      <t>Bariesun Leche SPF50+ 100ml</t>
    </r>
  </si>
  <si>
    <r>
      <rPr>
        <rFont val="Arial MT"/>
        <color theme="1"/>
        <sz val="5.0"/>
      </rPr>
      <t>Bariesun Spray SPF50+ 200ml</t>
    </r>
  </si>
  <si>
    <r>
      <rPr>
        <rFont val="Arial MT"/>
        <color theme="1"/>
        <sz val="5.0"/>
      </rPr>
      <t>Bariesun Spray Sin Perfume SPF50+ 200ml</t>
    </r>
  </si>
  <si>
    <r>
      <rPr>
        <rFont val="Arial MT"/>
        <color theme="1"/>
        <sz val="5.0"/>
      </rPr>
      <t>Bariesun Aceite Seco SPF50+ 200ml</t>
    </r>
  </si>
  <si>
    <r>
      <rPr>
        <rFont val="Arial MT"/>
        <color theme="1"/>
        <sz val="5.0"/>
      </rPr>
      <t>Bariesun Agua Solar Refrescante SPF50+ 200ml</t>
    </r>
  </si>
  <si>
    <r>
      <rPr>
        <rFont val="Arial MT"/>
        <color theme="1"/>
        <sz val="5.0"/>
      </rPr>
      <t>Bariesun Bruma Seca SPF50+ 200ml</t>
    </r>
  </si>
  <si>
    <r>
      <rPr>
        <rFont val="Arial MT"/>
        <color theme="1"/>
        <sz val="5.0"/>
      </rPr>
      <t>Bariesun Stick Invisible SPF50+ 18 g</t>
    </r>
  </si>
  <si>
    <r>
      <rPr>
        <rFont val="Arial"/>
        <b/>
        <color theme="1"/>
        <sz val="5.0"/>
      </rPr>
      <t>CUIDADO POST-SOLAR</t>
    </r>
  </si>
  <si>
    <r>
      <rPr>
        <rFont val="Arial MT"/>
        <color theme="1"/>
        <sz val="5.0"/>
      </rPr>
      <t>Bariesun Bálsamo Reparador Aftersun 150ml</t>
    </r>
  </si>
  <si>
    <r>
      <rPr>
        <rFont val="Arial"/>
        <b/>
        <color theme="1"/>
        <sz val="5.0"/>
      </rPr>
      <t>BRONCEADO SIN SOL</t>
    </r>
  </si>
  <si>
    <r>
      <rPr>
        <rFont val="Arial MT"/>
        <color theme="1"/>
        <sz val="5.0"/>
      </rPr>
      <t>Bariesun Bruma Termal Autobronceadora 100ml</t>
    </r>
  </si>
  <si>
    <r>
      <rPr>
        <rFont val="Arial"/>
        <b/>
        <color rgb="FFFFFFFF"/>
        <sz val="5.0"/>
      </rPr>
      <t>FORMATOS DE VIAJE</t>
    </r>
  </si>
  <si>
    <r>
      <rPr>
        <rFont val="Arial MT"/>
        <color theme="1"/>
        <sz val="5.0"/>
      </rPr>
      <t>Agua Micelar Termal PNS 100ml</t>
    </r>
  </si>
  <si>
    <r>
      <rPr>
        <rFont val="Arial MT"/>
        <color theme="1"/>
        <sz val="5.0"/>
      </rPr>
      <t>Agua Micelar Termal PS 100ml</t>
    </r>
  </si>
  <si>
    <r>
      <rPr>
        <rFont val="Arial MT"/>
        <color theme="1"/>
        <sz val="5.0"/>
      </rPr>
      <t>Agua Micelar Termal PMG 100ml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</si>
</sst>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 \€"/>
  </numFmts>
  <fonts count="9">
    <font>
      <sz val="10.0"/>
      <color rgb="FF000000"/>
      <name val="Times New Roman"/>
      <scheme val="minor"/>
    </font>
    <font>
      <b/>
      <sz val="19.0"/>
      <color theme="1"/>
      <name val="Arial"/>
    </font>
    <font>
      <sz val="10.0"/>
      <color rgb="FF000000"/>
      <name val="Times New Roman"/>
    </font>
    <font>
      <b/>
      <sz val="5.0"/>
      <color theme="1"/>
      <name val="Arial"/>
    </font>
    <font/>
    <font>
      <sz val="5.0"/>
      <color theme="1"/>
      <name val="Arial"/>
    </font>
    <font>
      <sz val="5.0"/>
      <color rgb="FF000000"/>
      <name val="Arial"/>
    </font>
    <font>
      <b/>
      <sz val="5.0"/>
      <color rgb="FF000000"/>
      <name val="Arial"/>
    </font>
    <font>
      <sz val="4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CE6EF"/>
        <bgColor rgb="FFDCE6EF"/>
      </patternFill>
    </fill>
    <fill>
      <patternFill patternType="solid">
        <fgColor rgb="FF9163D2"/>
        <bgColor rgb="FF9163D2"/>
      </patternFill>
    </fill>
    <fill>
      <patternFill patternType="solid">
        <fgColor rgb="FF0092C5"/>
        <bgColor rgb="FF0092C5"/>
      </patternFill>
    </fill>
    <fill>
      <patternFill patternType="solid">
        <fgColor rgb="FFFF5050"/>
        <bgColor rgb="FFFF5050"/>
      </patternFill>
    </fill>
    <fill>
      <patternFill patternType="solid">
        <fgColor rgb="FF00927B"/>
        <bgColor rgb="FF00927B"/>
      </patternFill>
    </fill>
    <fill>
      <patternFill patternType="solid">
        <fgColor rgb="FF528DD3"/>
        <bgColor rgb="FF528DD3"/>
      </patternFill>
    </fill>
    <fill>
      <patternFill patternType="solid">
        <fgColor rgb="FF16365C"/>
        <bgColor rgb="FF16365C"/>
      </patternFill>
    </fill>
    <fill>
      <patternFill patternType="solid">
        <fgColor rgb="FF365F92"/>
        <bgColor rgb="FF365F92"/>
      </patternFill>
    </fill>
    <fill>
      <patternFill patternType="solid">
        <fgColor rgb="FF0D223C"/>
        <bgColor rgb="FF0D223C"/>
      </patternFill>
    </fill>
    <fill>
      <patternFill patternType="solid">
        <fgColor rgb="FF003592"/>
        <bgColor rgb="FF003592"/>
      </patternFill>
    </fill>
    <fill>
      <patternFill patternType="solid">
        <fgColor rgb="FFFF9551"/>
        <bgColor rgb="FFFF9551"/>
      </patternFill>
    </fill>
    <fill>
      <patternFill patternType="solid">
        <fgColor rgb="FF5673AF"/>
        <bgColor rgb="FF5673AF"/>
      </patternFill>
    </fill>
    <fill>
      <patternFill patternType="solid">
        <fgColor rgb="FFFFC000"/>
        <bgColor rgb="FFFFC000"/>
      </patternFill>
    </fill>
    <fill>
      <patternFill patternType="solid">
        <fgColor rgb="FFFBE9D9"/>
        <bgColor rgb="FFFBE9D9"/>
      </patternFill>
    </fill>
    <fill>
      <patternFill patternType="solid">
        <fgColor rgb="FF5F4779"/>
        <bgColor rgb="FF5F4779"/>
      </patternFill>
    </fill>
  </fills>
  <borders count="2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/>
      <top style="thin">
        <color rgb="FF000000"/>
      </top>
    </border>
    <border>
      <bottom style="thin">
        <color rgb="FF000000"/>
      </bottom>
    </border>
    <border>
      <right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vertical="top"/>
    </xf>
    <xf borderId="5" fillId="2" fontId="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bottom" wrapText="1"/>
    </xf>
    <xf borderId="2" fillId="3" fontId="3" numFmtId="0" xfId="0" applyAlignment="1" applyBorder="1" applyFill="1" applyFont="1">
      <alignment horizontal="left" shrinkToFit="0" vertical="top" wrapText="1"/>
    </xf>
    <xf borderId="2" fillId="3" fontId="2" numFmtId="0" xfId="0" applyAlignment="1" applyBorder="1" applyFont="1">
      <alignment horizontal="left" shrinkToFit="0" vertical="bottom" wrapText="1"/>
    </xf>
    <xf borderId="6" fillId="3" fontId="2" numFmtId="0" xfId="0" applyAlignment="1" applyBorder="1" applyFont="1">
      <alignment horizontal="left" shrinkToFit="0" vertical="bottom" wrapText="1"/>
    </xf>
    <xf borderId="5" fillId="2" fontId="2" numFmtId="0" xfId="0" applyAlignment="1" applyBorder="1" applyFont="1">
      <alignment horizontal="left" shrinkToFit="0" vertical="bottom" wrapText="1"/>
    </xf>
    <xf borderId="2" fillId="0" fontId="5" numFmtId="0" xfId="0" applyAlignment="1" applyBorder="1" applyFont="1">
      <alignment horizontal="left" shrinkToFit="0" vertical="top" wrapText="1"/>
    </xf>
    <xf borderId="2" fillId="0" fontId="6" numFmtId="1" xfId="0" applyAlignment="1" applyBorder="1" applyFont="1" applyNumberFormat="1">
      <alignment horizontal="center" shrinkToFit="1" vertical="top" wrapText="0"/>
    </xf>
    <xf borderId="3" fillId="0" fontId="7" numFmtId="164" xfId="0" applyAlignment="1" applyBorder="1" applyFont="1" applyNumberFormat="1">
      <alignment horizontal="left" shrinkToFit="1" vertical="top" wrapText="0"/>
    </xf>
    <xf borderId="2" fillId="0" fontId="7" numFmtId="164" xfId="0" applyAlignment="1" applyBorder="1" applyFont="1" applyNumberFormat="1">
      <alignment horizontal="left" shrinkToFit="1" vertical="top" wrapText="0"/>
    </xf>
    <xf borderId="7" fillId="0" fontId="3" numFmtId="0" xfId="0" applyAlignment="1" applyBorder="1" applyFont="1">
      <alignment horizontal="left" shrinkToFit="0" vertical="top" wrapText="1"/>
    </xf>
    <xf borderId="7" fillId="0" fontId="7" numFmtId="164" xfId="0" applyAlignment="1" applyBorder="1" applyFont="1" applyNumberFormat="1">
      <alignment horizontal="right" shrinkToFit="1" vertical="top" wrapText="0"/>
    </xf>
    <xf borderId="8" fillId="0" fontId="5" numFmtId="0" xfId="0" applyAlignment="1" applyBorder="1" applyFont="1">
      <alignment horizontal="left" shrinkToFit="0" vertical="top" wrapText="1"/>
    </xf>
    <xf borderId="8" fillId="0" fontId="6" numFmtId="1" xfId="0" applyAlignment="1" applyBorder="1" applyFont="1" applyNumberFormat="1">
      <alignment horizontal="left" shrinkToFit="1" vertical="top" wrapText="0"/>
    </xf>
    <xf borderId="9" fillId="0" fontId="4" numFmtId="0" xfId="0" applyAlignment="1" applyBorder="1" applyFont="1">
      <alignment horizontal="left" vertical="top"/>
    </xf>
    <xf borderId="10" fillId="0" fontId="7" numFmtId="164" xfId="0" applyAlignment="1" applyBorder="1" applyFont="1" applyNumberFormat="1">
      <alignment horizontal="left" shrinkToFit="1" vertical="top" wrapText="0"/>
    </xf>
    <xf borderId="11" fillId="0" fontId="4" numFmtId="0" xfId="0" applyAlignment="1" applyBorder="1" applyFont="1">
      <alignment horizontal="left" vertical="top"/>
    </xf>
    <xf borderId="8" fillId="0" fontId="7" numFmtId="164" xfId="0" applyAlignment="1" applyBorder="1" applyFont="1" applyNumberFormat="1">
      <alignment horizontal="left" shrinkToFit="1" vertical="top" wrapText="0"/>
    </xf>
    <xf borderId="12" fillId="0" fontId="4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vertical="top"/>
    </xf>
    <xf borderId="8" fillId="0" fontId="6" numFmtId="1" xfId="0" applyAlignment="1" applyBorder="1" applyFont="1" applyNumberFormat="1">
      <alignment horizontal="center" shrinkToFit="1" vertical="top" wrapText="0"/>
    </xf>
    <xf borderId="10" fillId="4" fontId="3" numFmtId="0" xfId="0" applyAlignment="1" applyBorder="1" applyFill="1" applyFont="1">
      <alignment horizontal="left" shrinkToFit="0" vertical="top" wrapText="1"/>
    </xf>
    <xf borderId="13" fillId="4" fontId="3" numFmtId="0" xfId="0" applyAlignment="1" applyBorder="1" applyFont="1">
      <alignment horizontal="left" shrinkToFit="0" vertical="top" wrapText="1"/>
    </xf>
    <xf borderId="14" fillId="4" fontId="3" numFmtId="0" xfId="0" applyAlignment="1" applyBorder="1" applyFont="1">
      <alignment horizontal="left" shrinkToFit="0" vertical="top" wrapText="1"/>
    </xf>
    <xf borderId="12" fillId="4" fontId="3" numFmtId="0" xfId="0" applyAlignment="1" applyBorder="1" applyFont="1">
      <alignment horizontal="left" shrinkToFit="0" vertical="top" wrapText="1"/>
    </xf>
    <xf borderId="15" fillId="4" fontId="3" numFmtId="0" xfId="0" applyAlignment="1" applyBorder="1" applyFont="1">
      <alignment horizontal="left" shrinkToFit="0" vertical="top" wrapText="1"/>
    </xf>
    <xf borderId="16" fillId="4" fontId="3" numFmtId="0" xfId="0" applyAlignment="1" applyBorder="1" applyFont="1">
      <alignment horizontal="left" shrinkToFit="0" vertical="top" wrapText="1"/>
    </xf>
    <xf borderId="6" fillId="4" fontId="2" numFmtId="0" xfId="0" applyAlignment="1" applyBorder="1" applyFont="1">
      <alignment horizontal="left" shrinkToFit="0" vertical="bottom" wrapText="1"/>
    </xf>
    <xf borderId="3" fillId="0" fontId="4" numFmtId="0" xfId="0" applyAlignment="1" applyBorder="1" applyFont="1">
      <alignment horizontal="left" vertical="top"/>
    </xf>
    <xf borderId="17" fillId="0" fontId="4" numFmtId="0" xfId="0" applyAlignment="1" applyBorder="1" applyFont="1">
      <alignment horizontal="left" vertical="top"/>
    </xf>
    <xf borderId="10" fillId="5" fontId="3" numFmtId="0" xfId="0" applyAlignment="1" applyBorder="1" applyFill="1" applyFont="1">
      <alignment horizontal="left" shrinkToFit="0" vertical="top" wrapText="1"/>
    </xf>
    <xf borderId="13" fillId="5" fontId="3" numFmtId="0" xfId="0" applyAlignment="1" applyBorder="1" applyFont="1">
      <alignment horizontal="left" shrinkToFit="0" vertical="top" wrapText="1"/>
    </xf>
    <xf borderId="14" fillId="5" fontId="3" numFmtId="0" xfId="0" applyAlignment="1" applyBorder="1" applyFont="1">
      <alignment horizontal="left" shrinkToFit="0" vertical="top" wrapText="1"/>
    </xf>
    <xf borderId="12" fillId="5" fontId="3" numFmtId="0" xfId="0" applyAlignment="1" applyBorder="1" applyFont="1">
      <alignment horizontal="left" shrinkToFit="0" vertical="top" wrapText="1"/>
    </xf>
    <xf borderId="15" fillId="5" fontId="3" numFmtId="0" xfId="0" applyAlignment="1" applyBorder="1" applyFont="1">
      <alignment horizontal="left" shrinkToFit="0" vertical="top" wrapText="1"/>
    </xf>
    <xf borderId="16" fillId="5" fontId="3" numFmtId="0" xfId="0" applyAlignment="1" applyBorder="1" applyFont="1">
      <alignment horizontal="left" shrinkToFit="0" vertical="top" wrapText="1"/>
    </xf>
    <xf borderId="18" fillId="5" fontId="2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left" vertical="top"/>
    </xf>
    <xf borderId="14" fillId="0" fontId="4" numFmtId="0" xfId="0" applyAlignment="1" applyBorder="1" applyFont="1">
      <alignment horizontal="left" vertical="top"/>
    </xf>
    <xf borderId="10" fillId="0" fontId="3" numFmtId="0" xfId="0" applyAlignment="1" applyBorder="1" applyFont="1">
      <alignment horizontal="left" shrinkToFit="0" vertical="top" wrapText="1"/>
    </xf>
    <xf borderId="13" fillId="0" fontId="3" numFmtId="0" xfId="0" applyAlignment="1" applyBorder="1" applyFont="1">
      <alignment horizontal="left" shrinkToFit="0" vertical="top" wrapText="1"/>
    </xf>
    <xf borderId="19" fillId="0" fontId="4" numFmtId="0" xfId="0" applyAlignment="1" applyBorder="1" applyFont="1">
      <alignment horizontal="left" vertical="top"/>
    </xf>
    <xf borderId="15" fillId="0" fontId="4" numFmtId="0" xfId="0" applyAlignment="1" applyBorder="1" applyFont="1">
      <alignment horizontal="left" vertical="top"/>
    </xf>
    <xf borderId="16" fillId="0" fontId="4" numFmtId="0" xfId="0" applyAlignment="1" applyBorder="1" applyFont="1">
      <alignment horizontal="left" vertical="top"/>
    </xf>
    <xf borderId="12" fillId="0" fontId="3" numFmtId="0" xfId="0" applyAlignment="1" applyBorder="1" applyFont="1">
      <alignment horizontal="left" shrinkToFit="0" vertical="top" wrapText="1"/>
    </xf>
    <xf borderId="15" fillId="0" fontId="3" numFmtId="0" xfId="0" applyAlignment="1" applyBorder="1" applyFont="1">
      <alignment horizontal="left" shrinkToFit="0" vertical="top" wrapText="1"/>
    </xf>
    <xf borderId="7" fillId="0" fontId="7" numFmtId="164" xfId="0" applyAlignment="1" applyBorder="1" applyFont="1" applyNumberFormat="1">
      <alignment horizontal="left" shrinkToFit="1" vertical="top" wrapText="0"/>
    </xf>
    <xf borderId="6" fillId="6" fontId="2" numFmtId="0" xfId="0" applyAlignment="1" applyBorder="1" applyFill="1" applyFont="1">
      <alignment horizontal="left" shrinkToFit="0" vertical="center" wrapText="1"/>
    </xf>
    <xf borderId="8" fillId="0" fontId="8" numFmtId="1" xfId="0" applyAlignment="1" applyBorder="1" applyFont="1" applyNumberFormat="1">
      <alignment horizontal="left" shrinkToFit="1" vertical="top" wrapText="0"/>
    </xf>
    <xf borderId="10" fillId="6" fontId="3" numFmtId="0" xfId="0" applyAlignment="1" applyBorder="1" applyFont="1">
      <alignment horizontal="left" shrinkToFit="0" vertical="top" wrapText="1"/>
    </xf>
    <xf borderId="18" fillId="6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top" wrapText="1"/>
    </xf>
    <xf borderId="7" fillId="7" fontId="3" numFmtId="0" xfId="0" applyAlignment="1" applyBorder="1" applyFill="1" applyFont="1">
      <alignment horizontal="left" shrinkToFit="0" vertical="top" wrapText="1"/>
    </xf>
    <xf borderId="6" fillId="7" fontId="2" numFmtId="0" xfId="0" applyAlignment="1" applyBorder="1" applyFont="1">
      <alignment horizontal="left" shrinkToFit="0" vertical="bottom" wrapText="1"/>
    </xf>
    <xf borderId="2" fillId="0" fontId="2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shrinkToFit="0" vertical="top" wrapText="1"/>
    </xf>
    <xf borderId="10" fillId="8" fontId="3" numFmtId="0" xfId="0" applyAlignment="1" applyBorder="1" applyFill="1" applyFont="1">
      <alignment horizontal="left" shrinkToFit="0" vertical="top" wrapText="1"/>
    </xf>
    <xf borderId="6" fillId="8" fontId="2" numFmtId="0" xfId="0" applyAlignment="1" applyBorder="1" applyFont="1">
      <alignment horizontal="left" shrinkToFit="0" vertical="bottom" wrapText="1"/>
    </xf>
    <xf borderId="7" fillId="8" fontId="3" numFmtId="0" xfId="0" applyAlignment="1" applyBorder="1" applyFont="1">
      <alignment horizontal="left" shrinkToFit="0" vertical="top" wrapText="1"/>
    </xf>
    <xf borderId="10" fillId="9" fontId="3" numFmtId="0" xfId="0" applyAlignment="1" applyBorder="1" applyFill="1" applyFont="1">
      <alignment horizontal="left" shrinkToFit="0" vertical="top" wrapText="1"/>
    </xf>
    <xf borderId="6" fillId="9" fontId="2" numFmtId="0" xfId="0" applyAlignment="1" applyBorder="1" applyFont="1">
      <alignment horizontal="left" shrinkToFit="0" vertical="bottom" wrapText="1"/>
    </xf>
    <xf borderId="10" fillId="10" fontId="3" numFmtId="0" xfId="0" applyAlignment="1" applyBorder="1" applyFill="1" applyFont="1">
      <alignment horizontal="left" shrinkToFit="0" vertical="top" wrapText="1"/>
    </xf>
    <xf borderId="6" fillId="10" fontId="2" numFmtId="0" xfId="0" applyAlignment="1" applyBorder="1" applyFont="1">
      <alignment horizontal="left" shrinkToFit="0" vertical="bottom" wrapText="1"/>
    </xf>
    <xf borderId="10" fillId="11" fontId="3" numFmtId="0" xfId="0" applyAlignment="1" applyBorder="1" applyFill="1" applyFont="1">
      <alignment horizontal="left" shrinkToFit="0" vertical="top" wrapText="1"/>
    </xf>
    <xf borderId="18" fillId="11" fontId="2" numFmtId="0" xfId="0" applyAlignment="1" applyBorder="1" applyFont="1">
      <alignment horizontal="left" shrinkToFit="0" vertical="center" wrapText="1"/>
    </xf>
    <xf borderId="7" fillId="12" fontId="3" numFmtId="0" xfId="0" applyAlignment="1" applyBorder="1" applyFill="1" applyFont="1">
      <alignment horizontal="left" shrinkToFit="0" vertical="top" wrapText="1"/>
    </xf>
    <xf borderId="6" fillId="12" fontId="2" numFmtId="0" xfId="0" applyAlignment="1" applyBorder="1" applyFont="1">
      <alignment horizontal="left" shrinkToFit="0" vertical="bottom" wrapText="1"/>
    </xf>
    <xf borderId="7" fillId="13" fontId="3" numFmtId="0" xfId="0" applyAlignment="1" applyBorder="1" applyFill="1" applyFont="1">
      <alignment horizontal="left" shrinkToFit="0" vertical="top" wrapText="1"/>
    </xf>
    <xf borderId="6" fillId="13" fontId="2" numFmtId="0" xfId="0" applyAlignment="1" applyBorder="1" applyFont="1">
      <alignment horizontal="left" shrinkToFit="0" vertical="bottom" wrapText="1"/>
    </xf>
    <xf borderId="7" fillId="14" fontId="3" numFmtId="0" xfId="0" applyAlignment="1" applyBorder="1" applyFill="1" applyFont="1">
      <alignment horizontal="left" shrinkToFit="0" vertical="top" wrapText="1"/>
    </xf>
    <xf borderId="6" fillId="14" fontId="2" numFmtId="0" xfId="0" applyAlignment="1" applyBorder="1" applyFont="1">
      <alignment horizontal="left" shrinkToFit="0" vertical="bottom" wrapText="1"/>
    </xf>
    <xf borderId="10" fillId="15" fontId="3" numFmtId="0" xfId="0" applyAlignment="1" applyBorder="1" applyFill="1" applyFont="1">
      <alignment horizontal="left" shrinkToFit="0" vertical="top" wrapText="1"/>
    </xf>
    <xf borderId="6" fillId="15" fontId="2" numFmtId="0" xfId="0" applyAlignment="1" applyBorder="1" applyFont="1">
      <alignment horizontal="left" shrinkToFit="0" vertical="bottom" wrapText="1"/>
    </xf>
    <xf borderId="10" fillId="16" fontId="3" numFmtId="0" xfId="0" applyAlignment="1" applyBorder="1" applyFill="1" applyFont="1">
      <alignment horizontal="left" shrinkToFit="0" vertical="top" wrapText="1"/>
    </xf>
    <xf borderId="6" fillId="16" fontId="2" numFmtId="0" xfId="0" applyAlignment="1" applyBorder="1" applyFont="1">
      <alignment horizontal="left" shrinkToFit="0" vertical="bottom" wrapText="1"/>
    </xf>
    <xf borderId="8" fillId="16" fontId="3" numFmtId="0" xfId="0" applyAlignment="1" applyBorder="1" applyFont="1">
      <alignment horizontal="left" shrinkToFit="0" vertical="top" wrapText="1"/>
    </xf>
    <xf borderId="8" fillId="16" fontId="2" numFmtId="0" xfId="0" applyAlignment="1" applyBorder="1" applyFont="1">
      <alignment horizontal="left" shrinkToFit="0" vertical="center" wrapText="1"/>
    </xf>
    <xf borderId="10" fillId="16" fontId="2" numFmtId="0" xfId="0" applyAlignment="1" applyBorder="1" applyFont="1">
      <alignment horizontal="left" shrinkToFit="0" vertical="center" wrapText="1"/>
    </xf>
    <xf borderId="10" fillId="17" fontId="3" numFmtId="0" xfId="0" applyAlignment="1" applyBorder="1" applyFill="1" applyFont="1">
      <alignment horizontal="left" shrinkToFit="0" vertical="top" wrapText="1"/>
    </xf>
    <xf borderId="6" fillId="17" fontId="2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8.jpg"/><Relationship Id="rId10" Type="http://schemas.openxmlformats.org/officeDocument/2006/relationships/image" Target="../media/image8.png"/><Relationship Id="rId13" Type="http://schemas.openxmlformats.org/officeDocument/2006/relationships/image" Target="../media/image11.png"/><Relationship Id="rId12" Type="http://schemas.openxmlformats.org/officeDocument/2006/relationships/image" Target="../media/image17.jpg"/><Relationship Id="rId1" Type="http://schemas.openxmlformats.org/officeDocument/2006/relationships/image" Target="../media/image3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6.png"/><Relationship Id="rId9" Type="http://schemas.openxmlformats.org/officeDocument/2006/relationships/image" Target="../media/image7.png"/><Relationship Id="rId15" Type="http://schemas.openxmlformats.org/officeDocument/2006/relationships/image" Target="../media/image14.png"/><Relationship Id="rId14" Type="http://schemas.openxmlformats.org/officeDocument/2006/relationships/image" Target="../media/image9.png"/><Relationship Id="rId17" Type="http://schemas.openxmlformats.org/officeDocument/2006/relationships/image" Target="../media/image1.png"/><Relationship Id="rId16" Type="http://schemas.openxmlformats.org/officeDocument/2006/relationships/image" Target="../media/image6.png"/><Relationship Id="rId5" Type="http://schemas.openxmlformats.org/officeDocument/2006/relationships/image" Target="../media/image12.png"/><Relationship Id="rId6" Type="http://schemas.openxmlformats.org/officeDocument/2006/relationships/image" Target="../media/image13.png"/><Relationship Id="rId18" Type="http://schemas.openxmlformats.org/officeDocument/2006/relationships/image" Target="../media/image2.png"/><Relationship Id="rId7" Type="http://schemas.openxmlformats.org/officeDocument/2006/relationships/image" Target="../media/image5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2</xdr:row>
      <xdr:rowOff>76200</xdr:rowOff>
    </xdr:from>
    <xdr:ext cx="733425" cy="695325"/>
    <xdr:grpSp>
      <xdr:nvGrpSpPr>
        <xdr:cNvPr id="2" name="Shape 2"/>
        <xdr:cNvGrpSpPr/>
      </xdr:nvGrpSpPr>
      <xdr:grpSpPr>
        <a:xfrm>
          <a:off x="4976748" y="3429480"/>
          <a:ext cx="738505" cy="701040"/>
          <a:chOff x="4976748" y="3429480"/>
          <a:chExt cx="738505" cy="701040"/>
        </a:xfrm>
      </xdr:grpSpPr>
      <xdr:grpSp>
        <xdr:nvGrpSpPr>
          <xdr:cNvPr id="3" name="Shape 3"/>
          <xdr:cNvGrpSpPr/>
        </xdr:nvGrpSpPr>
        <xdr:grpSpPr>
          <a:xfrm>
            <a:off x="4976748" y="3429480"/>
            <a:ext cx="738505" cy="701040"/>
            <a:chOff x="0" y="0"/>
            <a:chExt cx="738505" cy="70104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38500" cy="701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154279" y="63207"/>
              <a:ext cx="584200" cy="529590"/>
            </a:xfrm>
            <a:custGeom>
              <a:rect b="b" l="l" r="r" t="t"/>
              <a:pathLst>
                <a:path extrusionOk="0" h="529590" w="584200">
                  <a:moveTo>
                    <a:pt x="292011" y="0"/>
                  </a:moveTo>
                  <a:lnTo>
                    <a:pt x="244640" y="3428"/>
                  </a:lnTo>
                  <a:lnTo>
                    <a:pt x="199707" y="13461"/>
                  </a:lnTo>
                  <a:lnTo>
                    <a:pt x="157810" y="29463"/>
                  </a:lnTo>
                  <a:lnTo>
                    <a:pt x="119545" y="51053"/>
                  </a:lnTo>
                  <a:lnTo>
                    <a:pt x="85521" y="77469"/>
                  </a:lnTo>
                  <a:lnTo>
                    <a:pt x="56337" y="108330"/>
                  </a:lnTo>
                  <a:lnTo>
                    <a:pt x="32588" y="143001"/>
                  </a:lnTo>
                  <a:lnTo>
                    <a:pt x="14884" y="180975"/>
                  </a:lnTo>
                  <a:lnTo>
                    <a:pt x="3822" y="221741"/>
                  </a:lnTo>
                  <a:lnTo>
                    <a:pt x="0" y="264667"/>
                  </a:lnTo>
                  <a:lnTo>
                    <a:pt x="3822" y="307593"/>
                  </a:lnTo>
                  <a:lnTo>
                    <a:pt x="14884" y="348360"/>
                  </a:lnTo>
                  <a:lnTo>
                    <a:pt x="32588" y="386333"/>
                  </a:lnTo>
                  <a:lnTo>
                    <a:pt x="56337" y="421004"/>
                  </a:lnTo>
                  <a:lnTo>
                    <a:pt x="85521" y="451865"/>
                  </a:lnTo>
                  <a:lnTo>
                    <a:pt x="119545" y="478281"/>
                  </a:lnTo>
                  <a:lnTo>
                    <a:pt x="157810" y="499872"/>
                  </a:lnTo>
                  <a:lnTo>
                    <a:pt x="199707" y="515874"/>
                  </a:lnTo>
                  <a:lnTo>
                    <a:pt x="244640" y="525906"/>
                  </a:lnTo>
                  <a:lnTo>
                    <a:pt x="292011" y="529462"/>
                  </a:lnTo>
                  <a:lnTo>
                    <a:pt x="339369" y="525906"/>
                  </a:lnTo>
                  <a:lnTo>
                    <a:pt x="384327" y="515874"/>
                  </a:lnTo>
                  <a:lnTo>
                    <a:pt x="426237" y="499872"/>
                  </a:lnTo>
                  <a:lnTo>
                    <a:pt x="464464" y="478281"/>
                  </a:lnTo>
                  <a:lnTo>
                    <a:pt x="498500" y="451865"/>
                  </a:lnTo>
                  <a:lnTo>
                    <a:pt x="527710" y="421004"/>
                  </a:lnTo>
                  <a:lnTo>
                    <a:pt x="551459" y="386333"/>
                  </a:lnTo>
                  <a:lnTo>
                    <a:pt x="569239" y="348360"/>
                  </a:lnTo>
                  <a:lnTo>
                    <a:pt x="580288" y="307593"/>
                  </a:lnTo>
                  <a:lnTo>
                    <a:pt x="584098" y="264667"/>
                  </a:lnTo>
                  <a:lnTo>
                    <a:pt x="580288" y="221741"/>
                  </a:lnTo>
                  <a:lnTo>
                    <a:pt x="569239" y="180975"/>
                  </a:lnTo>
                  <a:lnTo>
                    <a:pt x="551459" y="143001"/>
                  </a:lnTo>
                  <a:lnTo>
                    <a:pt x="527710" y="108330"/>
                  </a:lnTo>
                  <a:lnTo>
                    <a:pt x="498500" y="77469"/>
                  </a:lnTo>
                  <a:lnTo>
                    <a:pt x="464464" y="51053"/>
                  </a:lnTo>
                  <a:lnTo>
                    <a:pt x="426237" y="29463"/>
                  </a:lnTo>
                  <a:lnTo>
                    <a:pt x="384327" y="13461"/>
                  </a:lnTo>
                  <a:lnTo>
                    <a:pt x="339369" y="3428"/>
                  </a:lnTo>
                  <a:lnTo>
                    <a:pt x="292011" y="0"/>
                  </a:lnTo>
                  <a:close/>
                </a:path>
              </a:pathLst>
            </a:custGeom>
            <a:solidFill>
              <a:srgbClr val="0092C5"/>
            </a:solidFill>
            <a:ln>
              <a:noFill/>
            </a:ln>
          </xdr:spPr>
        </xdr:sp>
        <xdr:pic>
          <xdr:nvPicPr>
            <xdr:cNvPr id="6" name="Shape 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12763" cy="700747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7" name="Shape 7"/>
            <xdr:cNvSpPr txBox="1"/>
          </xdr:nvSpPr>
          <xdr:spPr>
            <a:xfrm>
              <a:off x="0" y="0"/>
              <a:ext cx="738505" cy="70104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Agua Termal Reparadora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9525</xdr:colOff>
      <xdr:row>79</xdr:row>
      <xdr:rowOff>85725</xdr:rowOff>
    </xdr:from>
    <xdr:ext cx="866775" cy="1085850"/>
    <xdr:grpSp>
      <xdr:nvGrpSpPr>
        <xdr:cNvPr id="2" name="Shape 2"/>
        <xdr:cNvGrpSpPr/>
      </xdr:nvGrpSpPr>
      <xdr:grpSpPr>
        <a:xfrm>
          <a:off x="4910708" y="3235488"/>
          <a:ext cx="871042" cy="1089050"/>
          <a:chOff x="4910708" y="3235488"/>
          <a:chExt cx="871042" cy="1089050"/>
        </a:xfrm>
      </xdr:grpSpPr>
      <xdr:grpSp>
        <xdr:nvGrpSpPr>
          <xdr:cNvPr id="8" name="Shape 8"/>
          <xdr:cNvGrpSpPr/>
        </xdr:nvGrpSpPr>
        <xdr:grpSpPr>
          <a:xfrm>
            <a:off x="4910708" y="3235488"/>
            <a:ext cx="871042" cy="1089050"/>
            <a:chOff x="0" y="0"/>
            <a:chExt cx="871042" cy="1089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870575" cy="1089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" name="Shape 9"/>
            <xdr:cNvSpPr/>
          </xdr:nvSpPr>
          <xdr:spPr>
            <a:xfrm>
              <a:off x="229057" y="431190"/>
              <a:ext cx="641985" cy="657860"/>
            </a:xfrm>
            <a:custGeom>
              <a:rect b="b" l="l" r="r" t="t"/>
              <a:pathLst>
                <a:path extrusionOk="0" h="657860" w="641985">
                  <a:moveTo>
                    <a:pt x="320687" y="0"/>
                  </a:moveTo>
                  <a:lnTo>
                    <a:pt x="273304" y="3555"/>
                  </a:lnTo>
                  <a:lnTo>
                    <a:pt x="228066" y="13969"/>
                  </a:lnTo>
                  <a:lnTo>
                    <a:pt x="185496" y="30606"/>
                  </a:lnTo>
                  <a:lnTo>
                    <a:pt x="146062" y="52958"/>
                  </a:lnTo>
                  <a:lnTo>
                    <a:pt x="110286" y="80644"/>
                  </a:lnTo>
                  <a:lnTo>
                    <a:pt x="78663" y="113029"/>
                  </a:lnTo>
                  <a:lnTo>
                    <a:pt x="51663" y="149732"/>
                  </a:lnTo>
                  <a:lnTo>
                    <a:pt x="29806" y="190118"/>
                  </a:lnTo>
                  <a:lnTo>
                    <a:pt x="13576" y="233806"/>
                  </a:lnTo>
                  <a:lnTo>
                    <a:pt x="3479" y="280161"/>
                  </a:lnTo>
                  <a:lnTo>
                    <a:pt x="0" y="328675"/>
                  </a:lnTo>
                  <a:lnTo>
                    <a:pt x="3479" y="377316"/>
                  </a:lnTo>
                  <a:lnTo>
                    <a:pt x="13576" y="423671"/>
                  </a:lnTo>
                  <a:lnTo>
                    <a:pt x="29806" y="467359"/>
                  </a:lnTo>
                  <a:lnTo>
                    <a:pt x="51663" y="507745"/>
                  </a:lnTo>
                  <a:lnTo>
                    <a:pt x="78663" y="544321"/>
                  </a:lnTo>
                  <a:lnTo>
                    <a:pt x="110286" y="576833"/>
                  </a:lnTo>
                  <a:lnTo>
                    <a:pt x="146062" y="604392"/>
                  </a:lnTo>
                  <a:lnTo>
                    <a:pt x="185496" y="626871"/>
                  </a:lnTo>
                  <a:lnTo>
                    <a:pt x="228066" y="643508"/>
                  </a:lnTo>
                  <a:lnTo>
                    <a:pt x="273304" y="653795"/>
                  </a:lnTo>
                  <a:lnTo>
                    <a:pt x="320687" y="657351"/>
                  </a:lnTo>
                  <a:lnTo>
                    <a:pt x="368071" y="653795"/>
                  </a:lnTo>
                  <a:lnTo>
                    <a:pt x="413308" y="643508"/>
                  </a:lnTo>
                  <a:lnTo>
                    <a:pt x="455853" y="626871"/>
                  </a:lnTo>
                  <a:lnTo>
                    <a:pt x="495350" y="604392"/>
                  </a:lnTo>
                  <a:lnTo>
                    <a:pt x="531037" y="576833"/>
                  </a:lnTo>
                  <a:lnTo>
                    <a:pt x="562660" y="544321"/>
                  </a:lnTo>
                  <a:lnTo>
                    <a:pt x="589711" y="507745"/>
                  </a:lnTo>
                  <a:lnTo>
                    <a:pt x="611555" y="467359"/>
                  </a:lnTo>
                  <a:lnTo>
                    <a:pt x="627811" y="423671"/>
                  </a:lnTo>
                  <a:lnTo>
                    <a:pt x="637971" y="377316"/>
                  </a:lnTo>
                  <a:lnTo>
                    <a:pt x="641400" y="328675"/>
                  </a:lnTo>
                  <a:lnTo>
                    <a:pt x="637971" y="280161"/>
                  </a:lnTo>
                  <a:lnTo>
                    <a:pt x="627811" y="233806"/>
                  </a:lnTo>
                  <a:lnTo>
                    <a:pt x="611555" y="190118"/>
                  </a:lnTo>
                  <a:lnTo>
                    <a:pt x="589711" y="149732"/>
                  </a:lnTo>
                  <a:lnTo>
                    <a:pt x="562660" y="113029"/>
                  </a:lnTo>
                  <a:lnTo>
                    <a:pt x="531037" y="80644"/>
                  </a:lnTo>
                  <a:lnTo>
                    <a:pt x="495350" y="52958"/>
                  </a:lnTo>
                  <a:lnTo>
                    <a:pt x="455853" y="30606"/>
                  </a:lnTo>
                  <a:lnTo>
                    <a:pt x="413308" y="13969"/>
                  </a:lnTo>
                  <a:lnTo>
                    <a:pt x="368071" y="3555"/>
                  </a:lnTo>
                  <a:lnTo>
                    <a:pt x="320687" y="0"/>
                  </a:lnTo>
                  <a:close/>
                </a:path>
              </a:pathLst>
            </a:custGeom>
            <a:solidFill>
              <a:srgbClr val="FF5050"/>
            </a:solidFill>
            <a:ln>
              <a:noFill/>
            </a:ln>
          </xdr:spPr>
        </xdr:sp>
        <xdr:pic>
          <xdr:nvPicPr>
            <xdr:cNvPr id="10" name="Shape 10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0" y="0"/>
              <a:ext cx="585838" cy="1011326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1" name="Shape 11"/>
            <xdr:cNvSpPr txBox="1"/>
          </xdr:nvSpPr>
          <xdr:spPr>
            <a:xfrm>
              <a:off x="0" y="0"/>
              <a:ext cx="870585" cy="1089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Roseliane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Toléderm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9525</xdr:colOff>
      <xdr:row>56</xdr:row>
      <xdr:rowOff>47625</xdr:rowOff>
    </xdr:from>
    <xdr:ext cx="828675" cy="685800"/>
    <xdr:grpSp>
      <xdr:nvGrpSpPr>
        <xdr:cNvPr id="2" name="Shape 2"/>
        <xdr:cNvGrpSpPr/>
      </xdr:nvGrpSpPr>
      <xdr:grpSpPr>
        <a:xfrm>
          <a:off x="4928805" y="3433925"/>
          <a:ext cx="834390" cy="692150"/>
          <a:chOff x="4928805" y="3433925"/>
          <a:chExt cx="834390" cy="692150"/>
        </a:xfrm>
      </xdr:grpSpPr>
      <xdr:grpSp>
        <xdr:nvGrpSpPr>
          <xdr:cNvPr id="12" name="Shape 12"/>
          <xdr:cNvGrpSpPr/>
        </xdr:nvGrpSpPr>
        <xdr:grpSpPr>
          <a:xfrm>
            <a:off x="4928805" y="3433925"/>
            <a:ext cx="834390" cy="692150"/>
            <a:chOff x="0" y="0"/>
            <a:chExt cx="834390" cy="6921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834375" cy="692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/>
          </xdr:nvSpPr>
          <xdr:spPr>
            <a:xfrm>
              <a:off x="213753" y="103682"/>
              <a:ext cx="620395" cy="535305"/>
            </a:xfrm>
            <a:custGeom>
              <a:rect b="b" l="l" r="r" t="t"/>
              <a:pathLst>
                <a:path extrusionOk="0" h="535305" w="620395">
                  <a:moveTo>
                    <a:pt x="310045" y="0"/>
                  </a:moveTo>
                  <a:lnTo>
                    <a:pt x="259753" y="3555"/>
                  </a:lnTo>
                  <a:lnTo>
                    <a:pt x="212039" y="13715"/>
                  </a:lnTo>
                  <a:lnTo>
                    <a:pt x="167563" y="29844"/>
                  </a:lnTo>
                  <a:lnTo>
                    <a:pt x="126936" y="51688"/>
                  </a:lnTo>
                  <a:lnTo>
                    <a:pt x="90804" y="78358"/>
                  </a:lnTo>
                  <a:lnTo>
                    <a:pt x="59816" y="109600"/>
                  </a:lnTo>
                  <a:lnTo>
                    <a:pt x="34607" y="144652"/>
                  </a:lnTo>
                  <a:lnTo>
                    <a:pt x="15811" y="183006"/>
                  </a:lnTo>
                  <a:lnTo>
                    <a:pt x="4051" y="224154"/>
                  </a:lnTo>
                  <a:lnTo>
                    <a:pt x="0" y="267462"/>
                  </a:lnTo>
                  <a:lnTo>
                    <a:pt x="4051" y="310895"/>
                  </a:lnTo>
                  <a:lnTo>
                    <a:pt x="15811" y="352043"/>
                  </a:lnTo>
                  <a:lnTo>
                    <a:pt x="34607" y="390397"/>
                  </a:lnTo>
                  <a:lnTo>
                    <a:pt x="59816" y="425450"/>
                  </a:lnTo>
                  <a:lnTo>
                    <a:pt x="90804" y="456691"/>
                  </a:lnTo>
                  <a:lnTo>
                    <a:pt x="126936" y="483362"/>
                  </a:lnTo>
                  <a:lnTo>
                    <a:pt x="167563" y="505078"/>
                  </a:lnTo>
                  <a:lnTo>
                    <a:pt x="212039" y="521334"/>
                  </a:lnTo>
                  <a:lnTo>
                    <a:pt x="259753" y="531494"/>
                  </a:lnTo>
                  <a:lnTo>
                    <a:pt x="310045" y="534924"/>
                  </a:lnTo>
                  <a:lnTo>
                    <a:pt x="360349" y="531494"/>
                  </a:lnTo>
                  <a:lnTo>
                    <a:pt x="408038" y="521334"/>
                  </a:lnTo>
                  <a:lnTo>
                    <a:pt x="452615" y="505078"/>
                  </a:lnTo>
                  <a:lnTo>
                    <a:pt x="493128" y="483362"/>
                  </a:lnTo>
                  <a:lnTo>
                    <a:pt x="529323" y="456691"/>
                  </a:lnTo>
                  <a:lnTo>
                    <a:pt x="560311" y="425450"/>
                  </a:lnTo>
                  <a:lnTo>
                    <a:pt x="585457" y="390397"/>
                  </a:lnTo>
                  <a:lnTo>
                    <a:pt x="604380" y="352043"/>
                  </a:lnTo>
                  <a:lnTo>
                    <a:pt x="616064" y="310895"/>
                  </a:lnTo>
                  <a:lnTo>
                    <a:pt x="620128" y="267462"/>
                  </a:lnTo>
                  <a:lnTo>
                    <a:pt x="616064" y="224154"/>
                  </a:lnTo>
                  <a:lnTo>
                    <a:pt x="604380" y="183006"/>
                  </a:lnTo>
                  <a:lnTo>
                    <a:pt x="585457" y="144652"/>
                  </a:lnTo>
                  <a:lnTo>
                    <a:pt x="560311" y="109600"/>
                  </a:lnTo>
                  <a:lnTo>
                    <a:pt x="529323" y="78358"/>
                  </a:lnTo>
                  <a:lnTo>
                    <a:pt x="493128" y="51688"/>
                  </a:lnTo>
                  <a:lnTo>
                    <a:pt x="452615" y="29844"/>
                  </a:lnTo>
                  <a:lnTo>
                    <a:pt x="408038" y="13715"/>
                  </a:lnTo>
                  <a:lnTo>
                    <a:pt x="360349" y="3555"/>
                  </a:lnTo>
                  <a:lnTo>
                    <a:pt x="310045" y="0"/>
                  </a:lnTo>
                  <a:close/>
                </a:path>
              </a:pathLst>
            </a:custGeom>
            <a:solidFill>
              <a:srgbClr val="0092C5"/>
            </a:solidFill>
            <a:ln>
              <a:noFill/>
            </a:ln>
          </xdr:spPr>
        </xdr:sp>
        <xdr:pic>
          <xdr:nvPicPr>
            <xdr:cNvPr id="14" name="Shape 14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0" y="0"/>
              <a:ext cx="367093" cy="69169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22974" y="7848"/>
              <a:ext cx="326199" cy="65057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6" name="Shape 16"/>
            <xdr:cNvSpPr txBox="1"/>
          </xdr:nvSpPr>
          <xdr:spPr>
            <a:xfrm>
              <a:off x="0" y="0"/>
              <a:ext cx="834390" cy="692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Eau Thermale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0</xdr:colOff>
      <xdr:row>10</xdr:row>
      <xdr:rowOff>28575</xdr:rowOff>
    </xdr:from>
    <xdr:ext cx="857250" cy="1390650"/>
    <xdr:grpSp>
      <xdr:nvGrpSpPr>
        <xdr:cNvPr id="2" name="Shape 2"/>
        <xdr:cNvGrpSpPr/>
      </xdr:nvGrpSpPr>
      <xdr:grpSpPr>
        <a:xfrm>
          <a:off x="4915788" y="3083088"/>
          <a:ext cx="860425" cy="1393825"/>
          <a:chOff x="4915788" y="3083088"/>
          <a:chExt cx="860425" cy="1393825"/>
        </a:xfrm>
      </xdr:grpSpPr>
      <xdr:grpSp>
        <xdr:nvGrpSpPr>
          <xdr:cNvPr id="17" name="Shape 17"/>
          <xdr:cNvGrpSpPr/>
        </xdr:nvGrpSpPr>
        <xdr:grpSpPr>
          <a:xfrm>
            <a:off x="4915788" y="3083088"/>
            <a:ext cx="860425" cy="1393825"/>
            <a:chOff x="0" y="0"/>
            <a:chExt cx="860425" cy="13938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860425" cy="1393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8" name="Shape 18"/>
            <xdr:cNvSpPr/>
          </xdr:nvSpPr>
          <xdr:spPr>
            <a:xfrm>
              <a:off x="236143" y="178638"/>
              <a:ext cx="624205" cy="610235"/>
            </a:xfrm>
            <a:custGeom>
              <a:rect b="b" l="l" r="r" t="t"/>
              <a:pathLst>
                <a:path extrusionOk="0" h="610235" w="624205">
                  <a:moveTo>
                    <a:pt x="311950" y="0"/>
                  </a:moveTo>
                  <a:lnTo>
                    <a:pt x="265849" y="3301"/>
                  </a:lnTo>
                  <a:lnTo>
                    <a:pt x="221856" y="12826"/>
                  </a:lnTo>
                  <a:lnTo>
                    <a:pt x="180441" y="28320"/>
                  </a:lnTo>
                  <a:lnTo>
                    <a:pt x="142087" y="49149"/>
                  </a:lnTo>
                  <a:lnTo>
                    <a:pt x="107289" y="74802"/>
                  </a:lnTo>
                  <a:lnTo>
                    <a:pt x="76517" y="104901"/>
                  </a:lnTo>
                  <a:lnTo>
                    <a:pt x="50253" y="138937"/>
                  </a:lnTo>
                  <a:lnTo>
                    <a:pt x="28994" y="176402"/>
                  </a:lnTo>
                  <a:lnTo>
                    <a:pt x="13208" y="216915"/>
                  </a:lnTo>
                  <a:lnTo>
                    <a:pt x="3378" y="259968"/>
                  </a:lnTo>
                  <a:lnTo>
                    <a:pt x="0" y="305053"/>
                  </a:lnTo>
                  <a:lnTo>
                    <a:pt x="3378" y="350011"/>
                  </a:lnTo>
                  <a:lnTo>
                    <a:pt x="13208" y="393064"/>
                  </a:lnTo>
                  <a:lnTo>
                    <a:pt x="28994" y="433577"/>
                  </a:lnTo>
                  <a:lnTo>
                    <a:pt x="50253" y="471042"/>
                  </a:lnTo>
                  <a:lnTo>
                    <a:pt x="76517" y="505078"/>
                  </a:lnTo>
                  <a:lnTo>
                    <a:pt x="107289" y="535177"/>
                  </a:lnTo>
                  <a:lnTo>
                    <a:pt x="142087" y="560831"/>
                  </a:lnTo>
                  <a:lnTo>
                    <a:pt x="180441" y="581532"/>
                  </a:lnTo>
                  <a:lnTo>
                    <a:pt x="221856" y="597026"/>
                  </a:lnTo>
                  <a:lnTo>
                    <a:pt x="265849" y="606678"/>
                  </a:lnTo>
                  <a:lnTo>
                    <a:pt x="311950" y="609980"/>
                  </a:lnTo>
                  <a:lnTo>
                    <a:pt x="358038" y="606678"/>
                  </a:lnTo>
                  <a:lnTo>
                    <a:pt x="402031" y="597026"/>
                  </a:lnTo>
                  <a:lnTo>
                    <a:pt x="443433" y="581532"/>
                  </a:lnTo>
                  <a:lnTo>
                    <a:pt x="481787" y="560831"/>
                  </a:lnTo>
                  <a:lnTo>
                    <a:pt x="516585" y="535177"/>
                  </a:lnTo>
                  <a:lnTo>
                    <a:pt x="547319" y="505078"/>
                  </a:lnTo>
                  <a:lnTo>
                    <a:pt x="573608" y="471042"/>
                  </a:lnTo>
                  <a:lnTo>
                    <a:pt x="594944" y="433577"/>
                  </a:lnTo>
                  <a:lnTo>
                    <a:pt x="610692" y="393064"/>
                  </a:lnTo>
                  <a:lnTo>
                    <a:pt x="620471" y="350011"/>
                  </a:lnTo>
                  <a:lnTo>
                    <a:pt x="623900" y="305053"/>
                  </a:lnTo>
                  <a:lnTo>
                    <a:pt x="620471" y="259968"/>
                  </a:lnTo>
                  <a:lnTo>
                    <a:pt x="610692" y="216915"/>
                  </a:lnTo>
                  <a:lnTo>
                    <a:pt x="594944" y="176402"/>
                  </a:lnTo>
                  <a:lnTo>
                    <a:pt x="573608" y="138937"/>
                  </a:lnTo>
                  <a:lnTo>
                    <a:pt x="547319" y="104901"/>
                  </a:lnTo>
                  <a:lnTo>
                    <a:pt x="516585" y="74802"/>
                  </a:lnTo>
                  <a:lnTo>
                    <a:pt x="481787" y="49149"/>
                  </a:lnTo>
                  <a:lnTo>
                    <a:pt x="443433" y="28320"/>
                  </a:lnTo>
                  <a:lnTo>
                    <a:pt x="402031" y="12826"/>
                  </a:lnTo>
                  <a:lnTo>
                    <a:pt x="358038" y="3301"/>
                  </a:lnTo>
                  <a:lnTo>
                    <a:pt x="311950" y="0"/>
                  </a:lnTo>
                  <a:close/>
                </a:path>
              </a:pathLst>
            </a:custGeom>
            <a:solidFill>
              <a:srgbClr val="0092C5"/>
            </a:solidFill>
            <a:ln>
              <a:noFill/>
            </a:ln>
          </xdr:spPr>
        </xdr:sp>
        <xdr:pic>
          <xdr:nvPicPr>
            <xdr:cNvPr id="19" name="Shape 19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0" y="0"/>
              <a:ext cx="490981" cy="93060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" name="Shape 20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141935" y="667346"/>
              <a:ext cx="463041" cy="726173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21" name="Shape 21"/>
            <xdr:cNvSpPr txBox="1"/>
          </xdr:nvSpPr>
          <xdr:spPr>
            <a:xfrm>
              <a:off x="0" y="0"/>
              <a:ext cx="860425" cy="1393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Higiene Diaria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66675</xdr:colOff>
      <xdr:row>124</xdr:row>
      <xdr:rowOff>95250</xdr:rowOff>
    </xdr:from>
    <xdr:ext cx="781050" cy="895350"/>
    <xdr:grpSp>
      <xdr:nvGrpSpPr>
        <xdr:cNvPr id="2" name="Shape 2"/>
        <xdr:cNvGrpSpPr/>
      </xdr:nvGrpSpPr>
      <xdr:grpSpPr>
        <a:xfrm>
          <a:off x="4954523" y="3330420"/>
          <a:ext cx="783069" cy="899160"/>
          <a:chOff x="4954523" y="3330420"/>
          <a:chExt cx="783069" cy="899160"/>
        </a:xfrm>
      </xdr:grpSpPr>
      <xdr:grpSp>
        <xdr:nvGrpSpPr>
          <xdr:cNvPr id="22" name="Shape 22"/>
          <xdr:cNvGrpSpPr/>
        </xdr:nvGrpSpPr>
        <xdr:grpSpPr>
          <a:xfrm>
            <a:off x="4954523" y="3330420"/>
            <a:ext cx="783069" cy="899160"/>
            <a:chOff x="0" y="0"/>
            <a:chExt cx="783069" cy="89916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82950" cy="899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3" name="Shape 23"/>
            <xdr:cNvPicPr preferRelativeResize="0"/>
          </xdr:nvPicPr>
          <xdr:blipFill rotWithShape="1">
            <a:blip r:embed="rId7">
              <a:alphaModFix/>
            </a:blip>
            <a:srcRect b="0" l="0" r="0" t="0"/>
            <a:stretch/>
          </xdr:blipFill>
          <xdr:spPr>
            <a:xfrm>
              <a:off x="40970" y="19735"/>
              <a:ext cx="414108" cy="87344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4" name="Shape 24"/>
            <xdr:cNvPicPr preferRelativeResize="0"/>
          </xdr:nvPicPr>
          <xdr:blipFill rotWithShape="1">
            <a:blip r:embed="rId8">
              <a:alphaModFix/>
            </a:blip>
            <a:srcRect b="0" l="0" r="0" t="0"/>
            <a:stretch/>
          </xdr:blipFill>
          <xdr:spPr>
            <a:xfrm>
              <a:off x="0" y="0"/>
              <a:ext cx="519658" cy="898512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25" name="Shape 25"/>
            <xdr:cNvSpPr/>
          </xdr:nvSpPr>
          <xdr:spPr>
            <a:xfrm>
              <a:off x="275704" y="469252"/>
              <a:ext cx="507365" cy="429895"/>
            </a:xfrm>
            <a:custGeom>
              <a:rect b="b" l="l" r="r" t="t"/>
              <a:pathLst>
                <a:path extrusionOk="0" h="429895" w="507365">
                  <a:moveTo>
                    <a:pt x="253555" y="0"/>
                  </a:moveTo>
                  <a:lnTo>
                    <a:pt x="202450" y="4445"/>
                  </a:lnTo>
                  <a:lnTo>
                    <a:pt x="154863" y="16891"/>
                  </a:lnTo>
                  <a:lnTo>
                    <a:pt x="111785" y="36703"/>
                  </a:lnTo>
                  <a:lnTo>
                    <a:pt x="74269" y="62864"/>
                  </a:lnTo>
                  <a:lnTo>
                    <a:pt x="43306" y="94742"/>
                  </a:lnTo>
                  <a:lnTo>
                    <a:pt x="19926" y="131191"/>
                  </a:lnTo>
                  <a:lnTo>
                    <a:pt x="5143" y="171450"/>
                  </a:lnTo>
                  <a:lnTo>
                    <a:pt x="0" y="214757"/>
                  </a:lnTo>
                  <a:lnTo>
                    <a:pt x="5143" y="258063"/>
                  </a:lnTo>
                  <a:lnTo>
                    <a:pt x="19926" y="298323"/>
                  </a:lnTo>
                  <a:lnTo>
                    <a:pt x="43306" y="334772"/>
                  </a:lnTo>
                  <a:lnTo>
                    <a:pt x="74269" y="366649"/>
                  </a:lnTo>
                  <a:lnTo>
                    <a:pt x="111785" y="392811"/>
                  </a:lnTo>
                  <a:lnTo>
                    <a:pt x="154863" y="412623"/>
                  </a:lnTo>
                  <a:lnTo>
                    <a:pt x="202450" y="425196"/>
                  </a:lnTo>
                  <a:lnTo>
                    <a:pt x="253555" y="429513"/>
                  </a:lnTo>
                  <a:lnTo>
                    <a:pt x="304685" y="425196"/>
                  </a:lnTo>
                  <a:lnTo>
                    <a:pt x="352183" y="412623"/>
                  </a:lnTo>
                  <a:lnTo>
                    <a:pt x="395363" y="392811"/>
                  </a:lnTo>
                  <a:lnTo>
                    <a:pt x="432828" y="366649"/>
                  </a:lnTo>
                  <a:lnTo>
                    <a:pt x="463816" y="334772"/>
                  </a:lnTo>
                  <a:lnTo>
                    <a:pt x="487184" y="298323"/>
                  </a:lnTo>
                  <a:lnTo>
                    <a:pt x="501916" y="258063"/>
                  </a:lnTo>
                  <a:lnTo>
                    <a:pt x="507123" y="214757"/>
                  </a:lnTo>
                  <a:lnTo>
                    <a:pt x="501916" y="171450"/>
                  </a:lnTo>
                  <a:lnTo>
                    <a:pt x="487184" y="131191"/>
                  </a:lnTo>
                  <a:lnTo>
                    <a:pt x="463816" y="94742"/>
                  </a:lnTo>
                  <a:lnTo>
                    <a:pt x="432828" y="62864"/>
                  </a:lnTo>
                  <a:lnTo>
                    <a:pt x="395363" y="36703"/>
                  </a:lnTo>
                  <a:lnTo>
                    <a:pt x="352183" y="16891"/>
                  </a:lnTo>
                  <a:lnTo>
                    <a:pt x="304685" y="4445"/>
                  </a:lnTo>
                  <a:lnTo>
                    <a:pt x="253555" y="0"/>
                  </a:lnTo>
                  <a:close/>
                </a:path>
              </a:pathLst>
            </a:custGeom>
            <a:solidFill>
              <a:srgbClr val="4F81BB"/>
            </a:solidFill>
            <a:ln>
              <a:noFill/>
            </a:ln>
          </xdr:spPr>
        </xdr:sp>
        <xdr:sp>
          <xdr:nvSpPr>
            <xdr:cNvPr id="26" name="Shape 26"/>
            <xdr:cNvSpPr txBox="1"/>
          </xdr:nvSpPr>
          <xdr:spPr>
            <a:xfrm>
              <a:off x="0" y="0"/>
              <a:ext cx="782955" cy="89916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Bariéderm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295275</xdr:colOff>
      <xdr:row>102</xdr:row>
      <xdr:rowOff>57150</xdr:rowOff>
    </xdr:from>
    <xdr:ext cx="581025" cy="533400"/>
    <xdr:grpSp>
      <xdr:nvGrpSpPr>
        <xdr:cNvPr id="2" name="Shape 2"/>
        <xdr:cNvGrpSpPr/>
      </xdr:nvGrpSpPr>
      <xdr:grpSpPr>
        <a:xfrm>
          <a:off x="5052948" y="3510443"/>
          <a:ext cx="586105" cy="539115"/>
          <a:chOff x="5052948" y="3510443"/>
          <a:chExt cx="586105" cy="539115"/>
        </a:xfrm>
      </xdr:grpSpPr>
      <xdr:grpSp>
        <xdr:nvGrpSpPr>
          <xdr:cNvPr id="27" name="Shape 27"/>
          <xdr:cNvGrpSpPr/>
        </xdr:nvGrpSpPr>
        <xdr:grpSpPr>
          <a:xfrm>
            <a:off x="5052948" y="3510443"/>
            <a:ext cx="586105" cy="539115"/>
            <a:chOff x="0" y="0"/>
            <a:chExt cx="586105" cy="53911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86100" cy="539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5206" y="5206"/>
              <a:ext cx="575945" cy="528955"/>
            </a:xfrm>
            <a:custGeom>
              <a:rect b="b" l="l" r="r" t="t"/>
              <a:pathLst>
                <a:path extrusionOk="0" h="528955" w="575945">
                  <a:moveTo>
                    <a:pt x="287705" y="0"/>
                  </a:moveTo>
                  <a:lnTo>
                    <a:pt x="235991" y="4317"/>
                  </a:lnTo>
                  <a:lnTo>
                    <a:pt x="187312" y="16509"/>
                  </a:lnTo>
                  <a:lnTo>
                    <a:pt x="142494" y="36067"/>
                  </a:lnTo>
                  <a:lnTo>
                    <a:pt x="102336" y="62229"/>
                  </a:lnTo>
                  <a:lnTo>
                    <a:pt x="67665" y="94106"/>
                  </a:lnTo>
                  <a:lnTo>
                    <a:pt x="39281" y="130936"/>
                  </a:lnTo>
                  <a:lnTo>
                    <a:pt x="17995" y="172084"/>
                  </a:lnTo>
                  <a:lnTo>
                    <a:pt x="4635" y="216915"/>
                  </a:lnTo>
                  <a:lnTo>
                    <a:pt x="0" y="264413"/>
                  </a:lnTo>
                  <a:lnTo>
                    <a:pt x="4635" y="311911"/>
                  </a:lnTo>
                  <a:lnTo>
                    <a:pt x="17995" y="356615"/>
                  </a:lnTo>
                  <a:lnTo>
                    <a:pt x="39281" y="397763"/>
                  </a:lnTo>
                  <a:lnTo>
                    <a:pt x="67665" y="434720"/>
                  </a:lnTo>
                  <a:lnTo>
                    <a:pt x="102336" y="466470"/>
                  </a:lnTo>
                  <a:lnTo>
                    <a:pt x="142494" y="492632"/>
                  </a:lnTo>
                  <a:lnTo>
                    <a:pt x="187312" y="512190"/>
                  </a:lnTo>
                  <a:lnTo>
                    <a:pt x="235991" y="524382"/>
                  </a:lnTo>
                  <a:lnTo>
                    <a:pt x="287705" y="528701"/>
                  </a:lnTo>
                  <a:lnTo>
                    <a:pt x="339471" y="524382"/>
                  </a:lnTo>
                  <a:lnTo>
                    <a:pt x="388112" y="512190"/>
                  </a:lnTo>
                  <a:lnTo>
                    <a:pt x="432943" y="492632"/>
                  </a:lnTo>
                  <a:lnTo>
                    <a:pt x="473075" y="466470"/>
                  </a:lnTo>
                  <a:lnTo>
                    <a:pt x="507746" y="434720"/>
                  </a:lnTo>
                  <a:lnTo>
                    <a:pt x="536194" y="397763"/>
                  </a:lnTo>
                  <a:lnTo>
                    <a:pt x="557403" y="356615"/>
                  </a:lnTo>
                  <a:lnTo>
                    <a:pt x="570738" y="311911"/>
                  </a:lnTo>
                  <a:lnTo>
                    <a:pt x="575437" y="264413"/>
                  </a:lnTo>
                  <a:lnTo>
                    <a:pt x="570738" y="216915"/>
                  </a:lnTo>
                  <a:lnTo>
                    <a:pt x="557403" y="172084"/>
                  </a:lnTo>
                  <a:lnTo>
                    <a:pt x="536194" y="130936"/>
                  </a:lnTo>
                  <a:lnTo>
                    <a:pt x="507746" y="94106"/>
                  </a:lnTo>
                  <a:lnTo>
                    <a:pt x="473075" y="62229"/>
                  </a:lnTo>
                  <a:lnTo>
                    <a:pt x="432943" y="36067"/>
                  </a:lnTo>
                  <a:lnTo>
                    <a:pt x="388112" y="16509"/>
                  </a:lnTo>
                  <a:lnTo>
                    <a:pt x="339471" y="4317"/>
                  </a:lnTo>
                  <a:lnTo>
                    <a:pt x="287705" y="0"/>
                  </a:lnTo>
                  <a:close/>
                </a:path>
              </a:pathLst>
            </a:custGeom>
            <a:solidFill>
              <a:srgbClr val="00927B"/>
            </a:solidFill>
            <a:ln>
              <a:noFill/>
            </a:ln>
          </xdr:spPr>
        </xdr:sp>
        <xdr:sp>
          <xdr:nvSpPr>
            <xdr:cNvPr id="29" name="Shape 29"/>
            <xdr:cNvSpPr/>
          </xdr:nvSpPr>
          <xdr:spPr>
            <a:xfrm>
              <a:off x="5206" y="5206"/>
              <a:ext cx="575945" cy="528955"/>
            </a:xfrm>
            <a:custGeom>
              <a:rect b="b" l="l" r="r" t="t"/>
              <a:pathLst>
                <a:path extrusionOk="0" h="528955" w="575945">
                  <a:moveTo>
                    <a:pt x="0" y="264413"/>
                  </a:moveTo>
                  <a:lnTo>
                    <a:pt x="4635" y="216915"/>
                  </a:lnTo>
                  <a:lnTo>
                    <a:pt x="17995" y="172084"/>
                  </a:lnTo>
                  <a:lnTo>
                    <a:pt x="39281" y="130936"/>
                  </a:lnTo>
                  <a:lnTo>
                    <a:pt x="67665" y="94106"/>
                  </a:lnTo>
                  <a:lnTo>
                    <a:pt x="102336" y="62229"/>
                  </a:lnTo>
                  <a:lnTo>
                    <a:pt x="142494" y="36067"/>
                  </a:lnTo>
                  <a:lnTo>
                    <a:pt x="187312" y="16509"/>
                  </a:lnTo>
                  <a:lnTo>
                    <a:pt x="235991" y="4317"/>
                  </a:lnTo>
                  <a:lnTo>
                    <a:pt x="287705" y="0"/>
                  </a:lnTo>
                  <a:lnTo>
                    <a:pt x="339471" y="4317"/>
                  </a:lnTo>
                  <a:lnTo>
                    <a:pt x="388112" y="16509"/>
                  </a:lnTo>
                  <a:lnTo>
                    <a:pt x="432943" y="36067"/>
                  </a:lnTo>
                  <a:lnTo>
                    <a:pt x="473075" y="62229"/>
                  </a:lnTo>
                  <a:lnTo>
                    <a:pt x="507746" y="94106"/>
                  </a:lnTo>
                  <a:lnTo>
                    <a:pt x="536194" y="130936"/>
                  </a:lnTo>
                  <a:lnTo>
                    <a:pt x="557403" y="172084"/>
                  </a:lnTo>
                  <a:lnTo>
                    <a:pt x="570738" y="216915"/>
                  </a:lnTo>
                  <a:lnTo>
                    <a:pt x="575437" y="264413"/>
                  </a:lnTo>
                  <a:lnTo>
                    <a:pt x="570738" y="311911"/>
                  </a:lnTo>
                  <a:lnTo>
                    <a:pt x="557403" y="356615"/>
                  </a:lnTo>
                  <a:lnTo>
                    <a:pt x="536194" y="397763"/>
                  </a:lnTo>
                  <a:lnTo>
                    <a:pt x="507746" y="434720"/>
                  </a:lnTo>
                  <a:lnTo>
                    <a:pt x="473075" y="466470"/>
                  </a:lnTo>
                  <a:lnTo>
                    <a:pt x="432943" y="492632"/>
                  </a:lnTo>
                  <a:lnTo>
                    <a:pt x="388112" y="512190"/>
                  </a:lnTo>
                  <a:lnTo>
                    <a:pt x="339471" y="524382"/>
                  </a:lnTo>
                  <a:lnTo>
                    <a:pt x="287705" y="528701"/>
                  </a:lnTo>
                  <a:lnTo>
                    <a:pt x="235991" y="524382"/>
                  </a:lnTo>
                  <a:lnTo>
                    <a:pt x="187312" y="512190"/>
                  </a:lnTo>
                  <a:lnTo>
                    <a:pt x="142494" y="492632"/>
                  </a:lnTo>
                  <a:lnTo>
                    <a:pt x="102336" y="466470"/>
                  </a:lnTo>
                  <a:lnTo>
                    <a:pt x="67665" y="434720"/>
                  </a:lnTo>
                  <a:lnTo>
                    <a:pt x="39281" y="397763"/>
                  </a:lnTo>
                  <a:lnTo>
                    <a:pt x="17995" y="356615"/>
                  </a:lnTo>
                  <a:lnTo>
                    <a:pt x="4635" y="311911"/>
                  </a:lnTo>
                  <a:lnTo>
                    <a:pt x="0" y="264413"/>
                  </a:lnTo>
                  <a:close/>
                </a:path>
              </a:pathLst>
            </a:custGeom>
            <a:noFill/>
            <a:ln cap="flat" cmpd="sng" w="10400">
              <a:solidFill>
                <a:srgbClr val="00927B"/>
              </a:solidFill>
              <a:prstDash val="solid"/>
              <a:round/>
              <a:headEnd len="sm" w="sm" type="none"/>
              <a:tailEnd len="sm" w="sm" type="none"/>
            </a:ln>
          </xdr:spPr>
        </xdr:sp>
        <xdr:sp>
          <xdr:nvSpPr>
            <xdr:cNvPr id="30" name="Shape 30"/>
            <xdr:cNvSpPr txBox="1"/>
          </xdr:nvSpPr>
          <xdr:spPr>
            <a:xfrm>
              <a:off x="0" y="0"/>
              <a:ext cx="586105" cy="53911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Hyseac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314325</xdr:colOff>
      <xdr:row>148</xdr:row>
      <xdr:rowOff>47625</xdr:rowOff>
    </xdr:from>
    <xdr:ext cx="533400" cy="523875"/>
    <xdr:grpSp>
      <xdr:nvGrpSpPr>
        <xdr:cNvPr id="2" name="Shape 2"/>
        <xdr:cNvGrpSpPr/>
      </xdr:nvGrpSpPr>
      <xdr:grpSpPr>
        <a:xfrm>
          <a:off x="5079300" y="3516158"/>
          <a:ext cx="533400" cy="527685"/>
          <a:chOff x="5079300" y="3516158"/>
          <a:chExt cx="533400" cy="527685"/>
        </a:xfrm>
      </xdr:grpSpPr>
      <xdr:grpSp>
        <xdr:nvGrpSpPr>
          <xdr:cNvPr id="31" name="Shape 31"/>
          <xdr:cNvGrpSpPr/>
        </xdr:nvGrpSpPr>
        <xdr:grpSpPr>
          <a:xfrm>
            <a:off x="5079300" y="3516158"/>
            <a:ext cx="533400" cy="527685"/>
            <a:chOff x="0" y="0"/>
            <a:chExt cx="533400" cy="52768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33400" cy="52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2" name="Shape 32"/>
            <xdr:cNvSpPr/>
          </xdr:nvSpPr>
          <xdr:spPr>
            <a:xfrm>
              <a:off x="0" y="0"/>
              <a:ext cx="533400" cy="527685"/>
            </a:xfrm>
            <a:custGeom>
              <a:rect b="b" l="l" r="r" t="t"/>
              <a:pathLst>
                <a:path extrusionOk="0" h="527685" w="533400">
                  <a:moveTo>
                    <a:pt x="266611" y="0"/>
                  </a:moveTo>
                  <a:lnTo>
                    <a:pt x="218694" y="4190"/>
                  </a:lnTo>
                  <a:lnTo>
                    <a:pt x="173583" y="16509"/>
                  </a:lnTo>
                  <a:lnTo>
                    <a:pt x="132054" y="36067"/>
                  </a:lnTo>
                  <a:lnTo>
                    <a:pt x="94843" y="61975"/>
                  </a:lnTo>
                  <a:lnTo>
                    <a:pt x="62699" y="93852"/>
                  </a:lnTo>
                  <a:lnTo>
                    <a:pt x="36398" y="130682"/>
                  </a:lnTo>
                  <a:lnTo>
                    <a:pt x="16675" y="171703"/>
                  </a:lnTo>
                  <a:lnTo>
                    <a:pt x="4292" y="216407"/>
                  </a:lnTo>
                  <a:lnTo>
                    <a:pt x="0" y="263778"/>
                  </a:lnTo>
                  <a:lnTo>
                    <a:pt x="4292" y="311276"/>
                  </a:lnTo>
                  <a:lnTo>
                    <a:pt x="16675" y="355853"/>
                  </a:lnTo>
                  <a:lnTo>
                    <a:pt x="36398" y="397001"/>
                  </a:lnTo>
                  <a:lnTo>
                    <a:pt x="62699" y="433831"/>
                  </a:lnTo>
                  <a:lnTo>
                    <a:pt x="94843" y="465581"/>
                  </a:lnTo>
                  <a:lnTo>
                    <a:pt x="132054" y="491616"/>
                  </a:lnTo>
                  <a:lnTo>
                    <a:pt x="173583" y="511175"/>
                  </a:lnTo>
                  <a:lnTo>
                    <a:pt x="218694" y="523493"/>
                  </a:lnTo>
                  <a:lnTo>
                    <a:pt x="266611" y="527684"/>
                  </a:lnTo>
                  <a:lnTo>
                    <a:pt x="314579" y="523493"/>
                  </a:lnTo>
                  <a:lnTo>
                    <a:pt x="359664" y="511175"/>
                  </a:lnTo>
                  <a:lnTo>
                    <a:pt x="401193" y="491616"/>
                  </a:lnTo>
                  <a:lnTo>
                    <a:pt x="438404" y="465581"/>
                  </a:lnTo>
                  <a:lnTo>
                    <a:pt x="470535" y="433831"/>
                  </a:lnTo>
                  <a:lnTo>
                    <a:pt x="496824" y="397001"/>
                  </a:lnTo>
                  <a:lnTo>
                    <a:pt x="516509" y="355853"/>
                  </a:lnTo>
                  <a:lnTo>
                    <a:pt x="528828" y="311276"/>
                  </a:lnTo>
                  <a:lnTo>
                    <a:pt x="533146" y="263778"/>
                  </a:lnTo>
                  <a:lnTo>
                    <a:pt x="528828" y="216407"/>
                  </a:lnTo>
                  <a:lnTo>
                    <a:pt x="516509" y="171703"/>
                  </a:lnTo>
                  <a:lnTo>
                    <a:pt x="496824" y="130682"/>
                  </a:lnTo>
                  <a:lnTo>
                    <a:pt x="470535" y="93852"/>
                  </a:lnTo>
                  <a:lnTo>
                    <a:pt x="438404" y="61975"/>
                  </a:lnTo>
                  <a:lnTo>
                    <a:pt x="401193" y="36067"/>
                  </a:lnTo>
                  <a:lnTo>
                    <a:pt x="359664" y="16509"/>
                  </a:lnTo>
                  <a:lnTo>
                    <a:pt x="314579" y="4190"/>
                  </a:lnTo>
                  <a:lnTo>
                    <a:pt x="266611" y="0"/>
                  </a:lnTo>
                  <a:close/>
                </a:path>
              </a:pathLst>
            </a:custGeom>
            <a:solidFill>
              <a:srgbClr val="001F5F"/>
            </a:solidFill>
            <a:ln>
              <a:noFill/>
            </a:ln>
          </xdr:spPr>
        </xdr:sp>
        <xdr:sp>
          <xdr:nvSpPr>
            <xdr:cNvPr id="33" name="Shape 33"/>
            <xdr:cNvSpPr txBox="1"/>
          </xdr:nvSpPr>
          <xdr:spPr>
            <a:xfrm>
              <a:off x="0" y="0"/>
              <a:ext cx="533400" cy="52768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Xemose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0</xdr:colOff>
      <xdr:row>192</xdr:row>
      <xdr:rowOff>57150</xdr:rowOff>
    </xdr:from>
    <xdr:ext cx="800100" cy="800100"/>
    <xdr:grpSp>
      <xdr:nvGrpSpPr>
        <xdr:cNvPr id="2" name="Shape 2"/>
        <xdr:cNvGrpSpPr/>
      </xdr:nvGrpSpPr>
      <xdr:grpSpPr>
        <a:xfrm>
          <a:off x="4941505" y="3377728"/>
          <a:ext cx="809116" cy="804545"/>
          <a:chOff x="4941505" y="3377728"/>
          <a:chExt cx="809116" cy="804545"/>
        </a:xfrm>
      </xdr:grpSpPr>
      <xdr:grpSp>
        <xdr:nvGrpSpPr>
          <xdr:cNvPr id="34" name="Shape 34"/>
          <xdr:cNvGrpSpPr/>
        </xdr:nvGrpSpPr>
        <xdr:grpSpPr>
          <a:xfrm>
            <a:off x="4941505" y="3377728"/>
            <a:ext cx="809116" cy="804545"/>
            <a:chOff x="0" y="0"/>
            <a:chExt cx="809116" cy="80454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808975" cy="804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5" name="Shape 35"/>
            <xdr:cNvSpPr/>
          </xdr:nvSpPr>
          <xdr:spPr>
            <a:xfrm>
              <a:off x="301116" y="56197"/>
              <a:ext cx="508000" cy="490220"/>
            </a:xfrm>
            <a:custGeom>
              <a:rect b="b" l="l" r="r" t="t"/>
              <a:pathLst>
                <a:path extrusionOk="0" h="490220" w="508000">
                  <a:moveTo>
                    <a:pt x="253758" y="0"/>
                  </a:moveTo>
                  <a:lnTo>
                    <a:pt x="208140" y="4064"/>
                  </a:lnTo>
                  <a:lnTo>
                    <a:pt x="165214" y="15367"/>
                  </a:lnTo>
                  <a:lnTo>
                    <a:pt x="125679" y="33527"/>
                  </a:lnTo>
                  <a:lnTo>
                    <a:pt x="90258" y="57658"/>
                  </a:lnTo>
                  <a:lnTo>
                    <a:pt x="59677" y="87122"/>
                  </a:lnTo>
                  <a:lnTo>
                    <a:pt x="34645" y="121285"/>
                  </a:lnTo>
                  <a:lnTo>
                    <a:pt x="15875" y="159512"/>
                  </a:lnTo>
                  <a:lnTo>
                    <a:pt x="4089" y="200914"/>
                  </a:lnTo>
                  <a:lnTo>
                    <a:pt x="0" y="244855"/>
                  </a:lnTo>
                  <a:lnTo>
                    <a:pt x="4089" y="288925"/>
                  </a:lnTo>
                  <a:lnTo>
                    <a:pt x="15875" y="330453"/>
                  </a:lnTo>
                  <a:lnTo>
                    <a:pt x="34645" y="368553"/>
                  </a:lnTo>
                  <a:lnTo>
                    <a:pt x="59677" y="402844"/>
                  </a:lnTo>
                  <a:lnTo>
                    <a:pt x="90258" y="432308"/>
                  </a:lnTo>
                  <a:lnTo>
                    <a:pt x="125679" y="456438"/>
                  </a:lnTo>
                  <a:lnTo>
                    <a:pt x="165214" y="474599"/>
                  </a:lnTo>
                  <a:lnTo>
                    <a:pt x="208140" y="485901"/>
                  </a:lnTo>
                  <a:lnTo>
                    <a:pt x="253758" y="489839"/>
                  </a:lnTo>
                  <a:lnTo>
                    <a:pt x="299377" y="485901"/>
                  </a:lnTo>
                  <a:lnTo>
                    <a:pt x="342265" y="474599"/>
                  </a:lnTo>
                  <a:lnTo>
                    <a:pt x="381889" y="456438"/>
                  </a:lnTo>
                  <a:lnTo>
                    <a:pt x="417322" y="432308"/>
                  </a:lnTo>
                  <a:lnTo>
                    <a:pt x="447802" y="402844"/>
                  </a:lnTo>
                  <a:lnTo>
                    <a:pt x="472821" y="368553"/>
                  </a:lnTo>
                  <a:lnTo>
                    <a:pt x="491617" y="330453"/>
                  </a:lnTo>
                  <a:lnTo>
                    <a:pt x="503428" y="288925"/>
                  </a:lnTo>
                  <a:lnTo>
                    <a:pt x="507492" y="244855"/>
                  </a:lnTo>
                  <a:lnTo>
                    <a:pt x="503428" y="200914"/>
                  </a:lnTo>
                  <a:lnTo>
                    <a:pt x="491617" y="159512"/>
                  </a:lnTo>
                  <a:lnTo>
                    <a:pt x="472821" y="121285"/>
                  </a:lnTo>
                  <a:lnTo>
                    <a:pt x="447802" y="87122"/>
                  </a:lnTo>
                  <a:lnTo>
                    <a:pt x="417322" y="57658"/>
                  </a:lnTo>
                  <a:lnTo>
                    <a:pt x="381889" y="33527"/>
                  </a:lnTo>
                  <a:lnTo>
                    <a:pt x="342265" y="15367"/>
                  </a:lnTo>
                  <a:lnTo>
                    <a:pt x="299377" y="4064"/>
                  </a:lnTo>
                  <a:lnTo>
                    <a:pt x="253758" y="0"/>
                  </a:lnTo>
                  <a:close/>
                </a:path>
              </a:pathLst>
            </a:custGeom>
            <a:solidFill>
              <a:srgbClr val="FF9551"/>
            </a:solidFill>
            <a:ln>
              <a:noFill/>
            </a:ln>
          </xdr:spPr>
        </xdr:sp>
        <xdr:pic>
          <xdr:nvPicPr>
            <xdr:cNvPr id="36" name="Shape 36"/>
            <xdr:cNvPicPr preferRelativeResize="0"/>
          </xdr:nvPicPr>
          <xdr:blipFill rotWithShape="1">
            <a:blip r:embed="rId9">
              <a:alphaModFix/>
            </a:blip>
            <a:srcRect b="0" l="0" r="0" t="0"/>
            <a:stretch/>
          </xdr:blipFill>
          <xdr:spPr>
            <a:xfrm>
              <a:off x="0" y="0"/>
              <a:ext cx="489000" cy="80448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7" name="Shape 37"/>
            <xdr:cNvPicPr preferRelativeResize="0"/>
          </xdr:nvPicPr>
          <xdr:blipFill rotWithShape="1">
            <a:blip r:embed="rId10">
              <a:alphaModFix/>
            </a:blip>
            <a:srcRect b="0" l="0" r="0" t="0"/>
            <a:stretch/>
          </xdr:blipFill>
          <xdr:spPr>
            <a:xfrm>
              <a:off x="0" y="7340"/>
              <a:ext cx="470662" cy="763231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38" name="Shape 38"/>
            <xdr:cNvSpPr txBox="1"/>
          </xdr:nvSpPr>
          <xdr:spPr>
            <a:xfrm>
              <a:off x="0" y="0"/>
              <a:ext cx="808990" cy="80454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Dépiderm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19050</xdr:colOff>
      <xdr:row>244</xdr:row>
      <xdr:rowOff>38100</xdr:rowOff>
    </xdr:from>
    <xdr:ext cx="847725" cy="1200150"/>
    <xdr:grpSp>
      <xdr:nvGrpSpPr>
        <xdr:cNvPr id="2" name="Shape 2"/>
        <xdr:cNvGrpSpPr/>
      </xdr:nvGrpSpPr>
      <xdr:grpSpPr>
        <a:xfrm>
          <a:off x="4918963" y="3175480"/>
          <a:ext cx="854075" cy="1209040"/>
          <a:chOff x="4918963" y="3175480"/>
          <a:chExt cx="854075" cy="1209040"/>
        </a:xfrm>
      </xdr:grpSpPr>
      <xdr:grpSp>
        <xdr:nvGrpSpPr>
          <xdr:cNvPr id="39" name="Shape 39"/>
          <xdr:cNvGrpSpPr/>
        </xdr:nvGrpSpPr>
        <xdr:grpSpPr>
          <a:xfrm>
            <a:off x="4918963" y="3175480"/>
            <a:ext cx="854075" cy="1209040"/>
            <a:chOff x="0" y="0"/>
            <a:chExt cx="854075" cy="120904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854075" cy="1209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0" name="Shape 40"/>
            <xdr:cNvSpPr/>
          </xdr:nvSpPr>
          <xdr:spPr>
            <a:xfrm>
              <a:off x="286829" y="302602"/>
              <a:ext cx="567055" cy="512445"/>
            </a:xfrm>
            <a:custGeom>
              <a:rect b="b" l="l" r="r" t="t"/>
              <a:pathLst>
                <a:path extrusionOk="0" h="512445" w="567055">
                  <a:moveTo>
                    <a:pt x="283514" y="0"/>
                  </a:moveTo>
                  <a:lnTo>
                    <a:pt x="232549" y="4063"/>
                  </a:lnTo>
                  <a:lnTo>
                    <a:pt x="184594" y="16001"/>
                  </a:lnTo>
                  <a:lnTo>
                    <a:pt x="140423" y="34925"/>
                  </a:lnTo>
                  <a:lnTo>
                    <a:pt x="100850" y="60197"/>
                  </a:lnTo>
                  <a:lnTo>
                    <a:pt x="66675" y="91058"/>
                  </a:lnTo>
                  <a:lnTo>
                    <a:pt x="38709" y="126872"/>
                  </a:lnTo>
                  <a:lnTo>
                    <a:pt x="17741" y="166750"/>
                  </a:lnTo>
                  <a:lnTo>
                    <a:pt x="4571" y="210184"/>
                  </a:lnTo>
                  <a:lnTo>
                    <a:pt x="0" y="256285"/>
                  </a:lnTo>
                  <a:lnTo>
                    <a:pt x="4571" y="302259"/>
                  </a:lnTo>
                  <a:lnTo>
                    <a:pt x="17741" y="345566"/>
                  </a:lnTo>
                  <a:lnTo>
                    <a:pt x="38709" y="385571"/>
                  </a:lnTo>
                  <a:lnTo>
                    <a:pt x="66675" y="421258"/>
                  </a:lnTo>
                  <a:lnTo>
                    <a:pt x="100850" y="452119"/>
                  </a:lnTo>
                  <a:lnTo>
                    <a:pt x="140423" y="477392"/>
                  </a:lnTo>
                  <a:lnTo>
                    <a:pt x="184594" y="496315"/>
                  </a:lnTo>
                  <a:lnTo>
                    <a:pt x="232549" y="508253"/>
                  </a:lnTo>
                  <a:lnTo>
                    <a:pt x="283514" y="512444"/>
                  </a:lnTo>
                  <a:lnTo>
                    <a:pt x="334454" y="508253"/>
                  </a:lnTo>
                  <a:lnTo>
                    <a:pt x="382460" y="496315"/>
                  </a:lnTo>
                  <a:lnTo>
                    <a:pt x="426529" y="477392"/>
                  </a:lnTo>
                  <a:lnTo>
                    <a:pt x="466153" y="452119"/>
                  </a:lnTo>
                  <a:lnTo>
                    <a:pt x="500316" y="421258"/>
                  </a:lnTo>
                  <a:lnTo>
                    <a:pt x="528256" y="385571"/>
                  </a:lnTo>
                  <a:lnTo>
                    <a:pt x="549338" y="345566"/>
                  </a:lnTo>
                  <a:lnTo>
                    <a:pt x="562419" y="302259"/>
                  </a:lnTo>
                  <a:lnTo>
                    <a:pt x="566991" y="256285"/>
                  </a:lnTo>
                  <a:lnTo>
                    <a:pt x="562419" y="210184"/>
                  </a:lnTo>
                  <a:lnTo>
                    <a:pt x="549338" y="166750"/>
                  </a:lnTo>
                  <a:lnTo>
                    <a:pt x="528256" y="126872"/>
                  </a:lnTo>
                  <a:lnTo>
                    <a:pt x="500316" y="91058"/>
                  </a:lnTo>
                  <a:lnTo>
                    <a:pt x="466153" y="60197"/>
                  </a:lnTo>
                  <a:lnTo>
                    <a:pt x="426529" y="34925"/>
                  </a:lnTo>
                  <a:lnTo>
                    <a:pt x="382460" y="16001"/>
                  </a:lnTo>
                  <a:lnTo>
                    <a:pt x="334454" y="4063"/>
                  </a:lnTo>
                  <a:lnTo>
                    <a:pt x="283514" y="0"/>
                  </a:lnTo>
                  <a:close/>
                </a:path>
              </a:pathLst>
            </a:custGeom>
            <a:solidFill>
              <a:srgbClr val="FFC000"/>
            </a:solidFill>
            <a:ln>
              <a:noFill/>
            </a:ln>
          </xdr:spPr>
        </xdr:sp>
        <xdr:pic>
          <xdr:nvPicPr>
            <xdr:cNvPr id="41" name="Shape 41"/>
            <xdr:cNvPicPr preferRelativeResize="0"/>
          </xdr:nvPicPr>
          <xdr:blipFill rotWithShape="1">
            <a:blip r:embed="rId11">
              <a:alphaModFix/>
            </a:blip>
            <a:srcRect b="0" l="0" r="0" t="0"/>
            <a:stretch/>
          </xdr:blipFill>
          <xdr:spPr>
            <a:xfrm>
              <a:off x="0" y="0"/>
              <a:ext cx="297789" cy="98014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2" name="Shape 42"/>
            <xdr:cNvPicPr preferRelativeResize="0"/>
          </xdr:nvPicPr>
          <xdr:blipFill rotWithShape="1">
            <a:blip r:embed="rId12">
              <a:alphaModFix/>
            </a:blip>
            <a:srcRect b="0" l="0" r="0" t="0"/>
            <a:stretch/>
          </xdr:blipFill>
          <xdr:spPr>
            <a:xfrm>
              <a:off x="171310" y="609574"/>
              <a:ext cx="210858" cy="598919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43" name="Shape 43"/>
            <xdr:cNvSpPr txBox="1"/>
          </xdr:nvSpPr>
          <xdr:spPr>
            <a:xfrm>
              <a:off x="0" y="0"/>
              <a:ext cx="854075" cy="120904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Bariésun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66675</xdr:colOff>
      <xdr:row>207</xdr:row>
      <xdr:rowOff>9525</xdr:rowOff>
    </xdr:from>
    <xdr:ext cx="790575" cy="771525"/>
    <xdr:grpSp>
      <xdr:nvGrpSpPr>
        <xdr:cNvPr id="2" name="Shape 2"/>
        <xdr:cNvGrpSpPr/>
      </xdr:nvGrpSpPr>
      <xdr:grpSpPr>
        <a:xfrm>
          <a:off x="4947220" y="3392333"/>
          <a:ext cx="797852" cy="775563"/>
          <a:chOff x="4947220" y="3392333"/>
          <a:chExt cx="797852" cy="775563"/>
        </a:xfrm>
      </xdr:grpSpPr>
      <xdr:grpSp>
        <xdr:nvGrpSpPr>
          <xdr:cNvPr id="44" name="Shape 44"/>
          <xdr:cNvGrpSpPr/>
        </xdr:nvGrpSpPr>
        <xdr:grpSpPr>
          <a:xfrm>
            <a:off x="4947220" y="3392333"/>
            <a:ext cx="797852" cy="775563"/>
            <a:chOff x="0" y="0"/>
            <a:chExt cx="797852" cy="775563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97550" cy="775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5" name="Shape 45"/>
            <xdr:cNvPicPr preferRelativeResize="0"/>
          </xdr:nvPicPr>
          <xdr:blipFill rotWithShape="1">
            <a:blip r:embed="rId13">
              <a:alphaModFix/>
            </a:blip>
            <a:srcRect b="0" l="0" r="0" t="0"/>
            <a:stretch/>
          </xdr:blipFill>
          <xdr:spPr>
            <a:xfrm>
              <a:off x="0" y="0"/>
              <a:ext cx="251142" cy="689203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46" name="Shape 46"/>
            <xdr:cNvSpPr/>
          </xdr:nvSpPr>
          <xdr:spPr>
            <a:xfrm>
              <a:off x="149517" y="163423"/>
              <a:ext cx="648335" cy="612140"/>
            </a:xfrm>
            <a:custGeom>
              <a:rect b="b" l="l" r="r" t="t"/>
              <a:pathLst>
                <a:path extrusionOk="0" h="612140" w="648335">
                  <a:moveTo>
                    <a:pt x="323862" y="0"/>
                  </a:moveTo>
                  <a:lnTo>
                    <a:pt x="276009" y="3301"/>
                  </a:lnTo>
                  <a:lnTo>
                    <a:pt x="230327" y="12953"/>
                  </a:lnTo>
                  <a:lnTo>
                    <a:pt x="187325" y="28448"/>
                  </a:lnTo>
                  <a:lnTo>
                    <a:pt x="147510" y="49275"/>
                  </a:lnTo>
                  <a:lnTo>
                    <a:pt x="111379" y="75056"/>
                  </a:lnTo>
                  <a:lnTo>
                    <a:pt x="79438" y="105155"/>
                  </a:lnTo>
                  <a:lnTo>
                    <a:pt x="52171" y="139319"/>
                  </a:lnTo>
                  <a:lnTo>
                    <a:pt x="30099" y="176910"/>
                  </a:lnTo>
                  <a:lnTo>
                    <a:pt x="13716" y="217550"/>
                  </a:lnTo>
                  <a:lnTo>
                    <a:pt x="3505" y="260730"/>
                  </a:lnTo>
                  <a:lnTo>
                    <a:pt x="0" y="305943"/>
                  </a:lnTo>
                  <a:lnTo>
                    <a:pt x="3505" y="351154"/>
                  </a:lnTo>
                  <a:lnTo>
                    <a:pt x="13716" y="394334"/>
                  </a:lnTo>
                  <a:lnTo>
                    <a:pt x="30099" y="434848"/>
                  </a:lnTo>
                  <a:lnTo>
                    <a:pt x="52171" y="472567"/>
                  </a:lnTo>
                  <a:lnTo>
                    <a:pt x="79438" y="506602"/>
                  </a:lnTo>
                  <a:lnTo>
                    <a:pt x="111379" y="536828"/>
                  </a:lnTo>
                  <a:lnTo>
                    <a:pt x="147510" y="562610"/>
                  </a:lnTo>
                  <a:lnTo>
                    <a:pt x="187325" y="583438"/>
                  </a:lnTo>
                  <a:lnTo>
                    <a:pt x="230327" y="598932"/>
                  </a:lnTo>
                  <a:lnTo>
                    <a:pt x="276009" y="608457"/>
                  </a:lnTo>
                  <a:lnTo>
                    <a:pt x="323862" y="611886"/>
                  </a:lnTo>
                  <a:lnTo>
                    <a:pt x="371716" y="608457"/>
                  </a:lnTo>
                  <a:lnTo>
                    <a:pt x="417410" y="598932"/>
                  </a:lnTo>
                  <a:lnTo>
                    <a:pt x="460336" y="583438"/>
                  </a:lnTo>
                  <a:lnTo>
                    <a:pt x="500214" y="562610"/>
                  </a:lnTo>
                  <a:lnTo>
                    <a:pt x="536282" y="536828"/>
                  </a:lnTo>
                  <a:lnTo>
                    <a:pt x="568286" y="506602"/>
                  </a:lnTo>
                  <a:lnTo>
                    <a:pt x="595591" y="472567"/>
                  </a:lnTo>
                  <a:lnTo>
                    <a:pt x="617689" y="434848"/>
                  </a:lnTo>
                  <a:lnTo>
                    <a:pt x="634072" y="394334"/>
                  </a:lnTo>
                  <a:lnTo>
                    <a:pt x="644232" y="351154"/>
                  </a:lnTo>
                  <a:lnTo>
                    <a:pt x="647788" y="305943"/>
                  </a:lnTo>
                  <a:lnTo>
                    <a:pt x="644232" y="260730"/>
                  </a:lnTo>
                  <a:lnTo>
                    <a:pt x="634072" y="217550"/>
                  </a:lnTo>
                  <a:lnTo>
                    <a:pt x="617689" y="176910"/>
                  </a:lnTo>
                  <a:lnTo>
                    <a:pt x="595591" y="139319"/>
                  </a:lnTo>
                  <a:lnTo>
                    <a:pt x="568286" y="105155"/>
                  </a:lnTo>
                  <a:lnTo>
                    <a:pt x="536282" y="75056"/>
                  </a:lnTo>
                  <a:lnTo>
                    <a:pt x="500214" y="49275"/>
                  </a:lnTo>
                  <a:lnTo>
                    <a:pt x="460336" y="28448"/>
                  </a:lnTo>
                  <a:lnTo>
                    <a:pt x="417410" y="12953"/>
                  </a:lnTo>
                  <a:lnTo>
                    <a:pt x="371716" y="3301"/>
                  </a:lnTo>
                  <a:lnTo>
                    <a:pt x="323862" y="0"/>
                  </a:lnTo>
                  <a:close/>
                </a:path>
              </a:pathLst>
            </a:custGeom>
            <a:solidFill>
              <a:srgbClr val="5673AF"/>
            </a:solidFill>
            <a:ln>
              <a:noFill/>
            </a:ln>
          </xdr:spPr>
        </xdr:sp>
        <xdr:pic>
          <xdr:nvPicPr>
            <xdr:cNvPr id="47" name="Shape 47"/>
            <xdr:cNvPicPr preferRelativeResize="0"/>
          </xdr:nvPicPr>
          <xdr:blipFill rotWithShape="1">
            <a:blip r:embed="rId14">
              <a:alphaModFix/>
            </a:blip>
            <a:srcRect b="0" l="0" r="0" t="0"/>
            <a:stretch/>
          </xdr:blipFill>
          <xdr:spPr>
            <a:xfrm>
              <a:off x="181394" y="67906"/>
              <a:ext cx="283629" cy="694067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48" name="Shape 48"/>
            <xdr:cNvSpPr txBox="1"/>
          </xdr:nvSpPr>
          <xdr:spPr>
            <a:xfrm>
              <a:off x="0" y="0"/>
              <a:ext cx="797560" cy="77533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Bebé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114300</xdr:colOff>
      <xdr:row>177</xdr:row>
      <xdr:rowOff>57150</xdr:rowOff>
    </xdr:from>
    <xdr:ext cx="695325" cy="638175"/>
    <xdr:grpSp>
      <xdr:nvGrpSpPr>
        <xdr:cNvPr id="2" name="Shape 2"/>
        <xdr:cNvGrpSpPr/>
      </xdr:nvGrpSpPr>
      <xdr:grpSpPr>
        <a:xfrm>
          <a:off x="4995480" y="3459643"/>
          <a:ext cx="701040" cy="640715"/>
          <a:chOff x="4995480" y="3459643"/>
          <a:chExt cx="701040" cy="640715"/>
        </a:xfrm>
      </xdr:grpSpPr>
      <xdr:grpSp>
        <xdr:nvGrpSpPr>
          <xdr:cNvPr id="49" name="Shape 49"/>
          <xdr:cNvGrpSpPr/>
        </xdr:nvGrpSpPr>
        <xdr:grpSpPr>
          <a:xfrm>
            <a:off x="4995480" y="3459643"/>
            <a:ext cx="701040" cy="640715"/>
            <a:chOff x="0" y="0"/>
            <a:chExt cx="701040" cy="64071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01025" cy="640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0" name="Shape 50"/>
            <xdr:cNvSpPr/>
          </xdr:nvSpPr>
          <xdr:spPr>
            <a:xfrm>
              <a:off x="198704" y="57708"/>
              <a:ext cx="502284" cy="506095"/>
            </a:xfrm>
            <a:custGeom>
              <a:rect b="b" l="l" r="r" t="t"/>
              <a:pathLst>
                <a:path extrusionOk="0" h="506095" w="502284">
                  <a:moveTo>
                    <a:pt x="251028" y="0"/>
                  </a:moveTo>
                  <a:lnTo>
                    <a:pt x="205905" y="4064"/>
                  </a:lnTo>
                  <a:lnTo>
                    <a:pt x="163436" y="15875"/>
                  </a:lnTo>
                  <a:lnTo>
                    <a:pt x="124333" y="34544"/>
                  </a:lnTo>
                  <a:lnTo>
                    <a:pt x="89293" y="59563"/>
                  </a:lnTo>
                  <a:lnTo>
                    <a:pt x="59042" y="90043"/>
                  </a:lnTo>
                  <a:lnTo>
                    <a:pt x="34277" y="125349"/>
                  </a:lnTo>
                  <a:lnTo>
                    <a:pt x="15709" y="164719"/>
                  </a:lnTo>
                  <a:lnTo>
                    <a:pt x="4038" y="207518"/>
                  </a:lnTo>
                  <a:lnTo>
                    <a:pt x="0" y="252984"/>
                  </a:lnTo>
                  <a:lnTo>
                    <a:pt x="4038" y="298576"/>
                  </a:lnTo>
                  <a:lnTo>
                    <a:pt x="15709" y="341375"/>
                  </a:lnTo>
                  <a:lnTo>
                    <a:pt x="34277" y="380746"/>
                  </a:lnTo>
                  <a:lnTo>
                    <a:pt x="59042" y="416178"/>
                  </a:lnTo>
                  <a:lnTo>
                    <a:pt x="89293" y="446659"/>
                  </a:lnTo>
                  <a:lnTo>
                    <a:pt x="124333" y="471550"/>
                  </a:lnTo>
                  <a:lnTo>
                    <a:pt x="163436" y="490347"/>
                  </a:lnTo>
                  <a:lnTo>
                    <a:pt x="205905" y="502030"/>
                  </a:lnTo>
                  <a:lnTo>
                    <a:pt x="251028" y="506095"/>
                  </a:lnTo>
                  <a:lnTo>
                    <a:pt x="296151" y="502030"/>
                  </a:lnTo>
                  <a:lnTo>
                    <a:pt x="338632" y="490347"/>
                  </a:lnTo>
                  <a:lnTo>
                    <a:pt x="377748" y="471550"/>
                  </a:lnTo>
                  <a:lnTo>
                    <a:pt x="412800" y="446659"/>
                  </a:lnTo>
                  <a:lnTo>
                    <a:pt x="443026" y="416178"/>
                  </a:lnTo>
                  <a:lnTo>
                    <a:pt x="467791" y="380746"/>
                  </a:lnTo>
                  <a:lnTo>
                    <a:pt x="486333" y="341375"/>
                  </a:lnTo>
                  <a:lnTo>
                    <a:pt x="498017" y="298576"/>
                  </a:lnTo>
                  <a:lnTo>
                    <a:pt x="502081" y="252984"/>
                  </a:lnTo>
                  <a:lnTo>
                    <a:pt x="498017" y="207518"/>
                  </a:lnTo>
                  <a:lnTo>
                    <a:pt x="486333" y="164719"/>
                  </a:lnTo>
                  <a:lnTo>
                    <a:pt x="467791" y="125349"/>
                  </a:lnTo>
                  <a:lnTo>
                    <a:pt x="443026" y="90043"/>
                  </a:lnTo>
                  <a:lnTo>
                    <a:pt x="412800" y="59563"/>
                  </a:lnTo>
                  <a:lnTo>
                    <a:pt x="377748" y="34544"/>
                  </a:lnTo>
                  <a:lnTo>
                    <a:pt x="338632" y="15875"/>
                  </a:lnTo>
                  <a:lnTo>
                    <a:pt x="296151" y="4064"/>
                  </a:lnTo>
                  <a:lnTo>
                    <a:pt x="251028" y="0"/>
                  </a:lnTo>
                  <a:close/>
                </a:path>
              </a:pathLst>
            </a:custGeom>
            <a:solidFill>
              <a:srgbClr val="003592"/>
            </a:solidFill>
            <a:ln>
              <a:noFill/>
            </a:ln>
          </xdr:spPr>
        </xdr:sp>
        <xdr:pic>
          <xdr:nvPicPr>
            <xdr:cNvPr id="51" name="Shape 51"/>
            <xdr:cNvPicPr preferRelativeResize="0"/>
          </xdr:nvPicPr>
          <xdr:blipFill rotWithShape="1">
            <a:blip r:embed="rId15">
              <a:alphaModFix/>
            </a:blip>
            <a:srcRect b="0" l="0" r="0" t="0"/>
            <a:stretch/>
          </xdr:blipFill>
          <xdr:spPr>
            <a:xfrm>
              <a:off x="177355" y="0"/>
              <a:ext cx="179019" cy="61396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52" name="Shape 52"/>
            <xdr:cNvPicPr preferRelativeResize="0"/>
          </xdr:nvPicPr>
          <xdr:blipFill rotWithShape="1">
            <a:blip r:embed="rId16">
              <a:alphaModFix/>
            </a:blip>
            <a:srcRect b="0" l="0" r="0" t="0"/>
            <a:stretch/>
          </xdr:blipFill>
          <xdr:spPr>
            <a:xfrm>
              <a:off x="0" y="368401"/>
              <a:ext cx="327825" cy="271729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53" name="Shape 53"/>
            <xdr:cNvSpPr txBox="1"/>
          </xdr:nvSpPr>
          <xdr:spPr>
            <a:xfrm>
              <a:off x="0" y="0"/>
              <a:ext cx="701040" cy="64071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Age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0</xdr:colOff>
      <xdr:row>98</xdr:row>
      <xdr:rowOff>19050</xdr:rowOff>
    </xdr:from>
    <xdr:ext cx="514350" cy="857250"/>
    <xdr:pic>
      <xdr:nvPicPr>
        <xdr:cNvPr id="0" name="image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0</xdr:rowOff>
    </xdr:from>
    <xdr:ext cx="542925" cy="876300"/>
    <xdr:pic>
      <xdr:nvPicPr>
        <xdr:cNvPr id="0" name="image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6.0"/>
    <col customWidth="1" min="3" max="3" width="5.86"/>
    <col customWidth="1" min="4" max="4" width="6.86"/>
    <col customWidth="1" min="5" max="5" width="8.0"/>
    <col customWidth="1" min="6" max="6" width="12.71"/>
    <col customWidth="1" min="7" max="7" width="2.14"/>
    <col customWidth="1" min="8" max="8" width="1.14"/>
    <col customWidth="1" min="9" max="9" width="8.0"/>
    <col customWidth="1" min="10" max="10" width="9.29"/>
    <col customWidth="1" min="11" max="11" width="34.0"/>
    <col customWidth="1" min="12" max="26" width="9.29"/>
  </cols>
  <sheetData>
    <row r="1" ht="82.5" customHeight="1">
      <c r="A1" s="1" t="s">
        <v>0</v>
      </c>
    </row>
    <row r="2" ht="13.5" customHeight="1">
      <c r="A2" s="2"/>
      <c r="B2" s="3"/>
      <c r="C2" s="4" t="s">
        <v>1</v>
      </c>
      <c r="D2" s="4" t="s">
        <v>2</v>
      </c>
      <c r="E2" s="4" t="s">
        <v>3</v>
      </c>
      <c r="F2" s="4" t="s">
        <v>4</v>
      </c>
      <c r="G2" s="2"/>
      <c r="H2" s="5" t="s">
        <v>5</v>
      </c>
      <c r="I2" s="6"/>
      <c r="J2" s="4" t="s">
        <v>6</v>
      </c>
      <c r="K2" s="7" t="s">
        <v>7</v>
      </c>
    </row>
    <row r="3" ht="9.75" customHeight="1">
      <c r="A3" s="8"/>
      <c r="B3" s="9" t="s">
        <v>8</v>
      </c>
      <c r="C3" s="10"/>
      <c r="D3" s="10"/>
      <c r="E3" s="10"/>
      <c r="F3" s="10"/>
      <c r="G3" s="8"/>
      <c r="H3" s="11"/>
      <c r="I3" s="6"/>
      <c r="J3" s="10"/>
      <c r="K3" s="12"/>
    </row>
    <row r="4" ht="9.75" customHeight="1">
      <c r="A4" s="8"/>
      <c r="B4" s="13" t="s">
        <v>9</v>
      </c>
      <c r="C4" s="14">
        <v>50.0</v>
      </c>
      <c r="D4" s="14">
        <v>6.5229275E7</v>
      </c>
      <c r="E4" s="14">
        <v>2121546.0</v>
      </c>
      <c r="F4" s="14">
        <v>3.661434000539E12</v>
      </c>
      <c r="G4" s="8"/>
      <c r="H4" s="15">
        <v>2.3</v>
      </c>
      <c r="I4" s="6"/>
      <c r="J4" s="16">
        <v>3.9</v>
      </c>
      <c r="K4" s="12">
        <f t="shared" ref="K4:K116" si="1">H4*0.7*1.262</f>
        <v>2.03182</v>
      </c>
    </row>
    <row r="5" ht="9.75" customHeight="1">
      <c r="A5" s="8"/>
      <c r="B5" s="13" t="s">
        <v>10</v>
      </c>
      <c r="C5" s="14">
        <v>150.0</v>
      </c>
      <c r="D5" s="14">
        <v>6.5229276E7</v>
      </c>
      <c r="E5" s="14">
        <v>1827173.0</v>
      </c>
      <c r="F5" s="14">
        <v>3.661434000515E12</v>
      </c>
      <c r="G5" s="8"/>
      <c r="H5" s="15">
        <v>5.61</v>
      </c>
      <c r="I5" s="6"/>
      <c r="J5" s="16">
        <v>9.5</v>
      </c>
      <c r="K5" s="12">
        <f t="shared" si="1"/>
        <v>4.955874</v>
      </c>
    </row>
    <row r="6" ht="9.75" customHeight="1">
      <c r="A6" s="8"/>
      <c r="B6" s="13" t="s">
        <v>11</v>
      </c>
      <c r="C6" s="14">
        <v>300.0</v>
      </c>
      <c r="D6" s="14">
        <v>6.5229277E7</v>
      </c>
      <c r="E6" s="14">
        <v>3278331.0</v>
      </c>
      <c r="F6" s="14">
        <v>3.661434000522E12</v>
      </c>
      <c r="G6" s="8"/>
      <c r="H6" s="15">
        <v>8.79</v>
      </c>
      <c r="I6" s="6"/>
      <c r="J6" s="16">
        <v>14.9</v>
      </c>
      <c r="K6" s="12">
        <f t="shared" si="1"/>
        <v>7.765086</v>
      </c>
    </row>
    <row r="7" ht="9.75" customHeight="1">
      <c r="A7" s="8"/>
      <c r="B7" s="17" t="s">
        <v>12</v>
      </c>
      <c r="C7" s="5"/>
      <c r="D7" s="5"/>
      <c r="E7" s="5"/>
      <c r="F7" s="5"/>
      <c r="G7" s="8"/>
      <c r="H7" s="8"/>
      <c r="J7" s="8"/>
      <c r="K7" s="12">
        <f t="shared" si="1"/>
        <v>0</v>
      </c>
    </row>
    <row r="8" ht="9.75" customHeight="1">
      <c r="A8" s="8"/>
      <c r="B8" s="13" t="s">
        <v>13</v>
      </c>
      <c r="C8" s="14">
        <v>500.0</v>
      </c>
      <c r="D8" s="14">
        <v>6.5182784E7</v>
      </c>
      <c r="E8" s="14">
        <v>1779441.0</v>
      </c>
      <c r="F8" s="14">
        <v>3.661434009396E12</v>
      </c>
      <c r="G8" s="8"/>
      <c r="H8" s="18">
        <v>10.56</v>
      </c>
      <c r="I8" s="6"/>
      <c r="J8" s="16">
        <v>17.9</v>
      </c>
      <c r="K8" s="12">
        <f t="shared" si="1"/>
        <v>9.328704</v>
      </c>
    </row>
    <row r="9" ht="9.75" customHeight="1">
      <c r="A9" s="8"/>
      <c r="B9" s="13" t="s">
        <v>14</v>
      </c>
      <c r="C9" s="14">
        <v>500.0</v>
      </c>
      <c r="D9" s="14">
        <v>6.5218959E7</v>
      </c>
      <c r="E9" s="14">
        <v>1779403.0</v>
      </c>
      <c r="F9" s="14">
        <v>3.661434009334E12</v>
      </c>
      <c r="G9" s="8"/>
      <c r="H9" s="18">
        <v>10.56</v>
      </c>
      <c r="I9" s="6"/>
      <c r="J9" s="16">
        <v>17.9</v>
      </c>
      <c r="K9" s="12">
        <f t="shared" si="1"/>
        <v>9.328704</v>
      </c>
    </row>
    <row r="10" ht="9.75" customHeight="1">
      <c r="A10" s="8"/>
      <c r="B10" s="13" t="s">
        <v>15</v>
      </c>
      <c r="C10" s="14">
        <v>500.0</v>
      </c>
      <c r="D10" s="14">
        <v>6.518286E7</v>
      </c>
      <c r="E10" s="14">
        <v>1779427.0</v>
      </c>
      <c r="F10" s="14">
        <v>3.661434009365E12</v>
      </c>
      <c r="G10" s="8"/>
      <c r="H10" s="18">
        <v>10.56</v>
      </c>
      <c r="I10" s="6"/>
      <c r="J10" s="16">
        <v>17.9</v>
      </c>
      <c r="K10" s="12">
        <f t="shared" si="1"/>
        <v>9.328704</v>
      </c>
    </row>
    <row r="11" ht="9.75" customHeight="1">
      <c r="A11" s="8"/>
      <c r="B11" s="13" t="s">
        <v>16</v>
      </c>
      <c r="C11" s="14">
        <v>100.0</v>
      </c>
      <c r="D11" s="14">
        <v>6.5183066E7</v>
      </c>
      <c r="E11" s="14">
        <v>1843593.0</v>
      </c>
      <c r="F11" s="14">
        <v>3.661434003691E12</v>
      </c>
      <c r="G11" s="8"/>
      <c r="H11" s="18">
        <v>8.79</v>
      </c>
      <c r="I11" s="6"/>
      <c r="J11" s="16">
        <v>14.9</v>
      </c>
      <c r="K11" s="12">
        <f t="shared" si="1"/>
        <v>7.765086</v>
      </c>
    </row>
    <row r="12" ht="9.75" customHeight="1">
      <c r="A12" s="8"/>
      <c r="B12" s="13" t="s">
        <v>17</v>
      </c>
      <c r="C12" s="14">
        <v>250.0</v>
      </c>
      <c r="D12" s="14">
        <v>6.5182788E7</v>
      </c>
      <c r="E12" s="14">
        <v>2121553.0</v>
      </c>
      <c r="F12" s="14">
        <v>3.661434009402E12</v>
      </c>
      <c r="G12" s="8"/>
      <c r="H12" s="18">
        <v>11.15</v>
      </c>
      <c r="I12" s="6"/>
      <c r="J12" s="16">
        <v>18.9</v>
      </c>
      <c r="K12" s="12">
        <f t="shared" si="1"/>
        <v>9.84991</v>
      </c>
    </row>
    <row r="13" ht="9.75" customHeight="1">
      <c r="A13" s="8"/>
      <c r="B13" s="13" t="s">
        <v>18</v>
      </c>
      <c r="C13" s="14">
        <v>150.0</v>
      </c>
      <c r="D13" s="14">
        <v>6.5182818E7</v>
      </c>
      <c r="E13" s="14">
        <v>1843609.0</v>
      </c>
      <c r="F13" s="14">
        <v>3.661434009419E12</v>
      </c>
      <c r="G13" s="8"/>
      <c r="H13" s="18">
        <v>11.15</v>
      </c>
      <c r="I13" s="6"/>
      <c r="J13" s="16">
        <v>18.9</v>
      </c>
      <c r="K13" s="12">
        <f t="shared" si="1"/>
        <v>9.84991</v>
      </c>
    </row>
    <row r="14" ht="9.75" customHeight="1">
      <c r="A14" s="8"/>
      <c r="B14" s="13" t="s">
        <v>19</v>
      </c>
      <c r="C14" s="14">
        <v>150.0</v>
      </c>
      <c r="D14" s="14">
        <v>6.5182849E7</v>
      </c>
      <c r="E14" s="14">
        <v>2074712.0</v>
      </c>
      <c r="F14" s="14">
        <v>3.661434009426E12</v>
      </c>
      <c r="G14" s="8"/>
      <c r="H14" s="18">
        <v>11.15</v>
      </c>
      <c r="I14" s="6"/>
      <c r="J14" s="16">
        <v>18.9</v>
      </c>
      <c r="K14" s="12">
        <f t="shared" si="1"/>
        <v>9.84991</v>
      </c>
    </row>
    <row r="15" ht="10.5" customHeight="1">
      <c r="A15" s="8"/>
      <c r="B15" s="13" t="s">
        <v>20</v>
      </c>
      <c r="C15" s="14">
        <v>100.0</v>
      </c>
      <c r="D15" s="14">
        <v>6.5218956E7</v>
      </c>
      <c r="E15" s="14">
        <v>1892713.0</v>
      </c>
      <c r="F15" s="14">
        <v>3.661434009433E12</v>
      </c>
      <c r="G15" s="8"/>
      <c r="H15" s="18">
        <v>8.79</v>
      </c>
      <c r="I15" s="6"/>
      <c r="J15" s="16">
        <v>14.9</v>
      </c>
      <c r="K15" s="12">
        <f t="shared" si="1"/>
        <v>7.765086</v>
      </c>
    </row>
    <row r="16" ht="9.0" customHeight="1">
      <c r="A16" s="8"/>
      <c r="B16" s="17" t="s">
        <v>21</v>
      </c>
      <c r="C16" s="5"/>
      <c r="D16" s="5"/>
      <c r="E16" s="5"/>
      <c r="F16" s="5"/>
      <c r="G16" s="8"/>
      <c r="H16" s="8"/>
      <c r="J16" s="8"/>
      <c r="K16" s="12">
        <f t="shared" si="1"/>
        <v>0</v>
      </c>
    </row>
    <row r="17" ht="5.25" customHeight="1">
      <c r="A17" s="8"/>
      <c r="B17" s="19" t="s">
        <v>22</v>
      </c>
      <c r="C17" s="20">
        <v>125.0</v>
      </c>
      <c r="D17" s="20">
        <v>6.5172642E7</v>
      </c>
      <c r="E17" s="20">
        <v>2031968.0</v>
      </c>
      <c r="F17" s="20">
        <v>3.661434008818E12</v>
      </c>
      <c r="G17" s="8"/>
      <c r="H17" s="8"/>
      <c r="J17" s="8"/>
      <c r="K17" s="12">
        <f t="shared" si="1"/>
        <v>0</v>
      </c>
    </row>
    <row r="18" ht="7.5" customHeight="1">
      <c r="A18" s="8"/>
      <c r="B18" s="21"/>
      <c r="C18" s="21"/>
      <c r="D18" s="21"/>
      <c r="E18" s="21"/>
      <c r="F18" s="21"/>
      <c r="G18" s="8"/>
      <c r="H18" s="22">
        <v>6.43</v>
      </c>
      <c r="I18" s="23"/>
      <c r="J18" s="24">
        <v>10.9</v>
      </c>
      <c r="K18" s="12">
        <f t="shared" si="1"/>
        <v>5.680262</v>
      </c>
    </row>
    <row r="19" ht="5.25" customHeight="1">
      <c r="A19" s="8"/>
      <c r="B19" s="19" t="s">
        <v>23</v>
      </c>
      <c r="C19" s="20">
        <v>500.0</v>
      </c>
      <c r="D19" s="20">
        <v>6.5206611E7</v>
      </c>
      <c r="E19" s="20">
        <v>2023482.0</v>
      </c>
      <c r="F19" s="20">
        <v>3.661434008788E12</v>
      </c>
      <c r="G19" s="8"/>
      <c r="H19" s="25"/>
      <c r="I19" s="26"/>
      <c r="J19" s="21"/>
      <c r="K19" s="12">
        <f t="shared" si="1"/>
        <v>0</v>
      </c>
    </row>
    <row r="20" ht="8.25" customHeight="1">
      <c r="A20" s="8"/>
      <c r="B20" s="21"/>
      <c r="C20" s="21"/>
      <c r="D20" s="21"/>
      <c r="E20" s="21"/>
      <c r="F20" s="21"/>
      <c r="G20" s="8"/>
      <c r="H20" s="22">
        <v>9.38</v>
      </c>
      <c r="I20" s="23"/>
      <c r="J20" s="24">
        <v>15.9</v>
      </c>
      <c r="K20" s="12">
        <f t="shared" si="1"/>
        <v>8.286292</v>
      </c>
    </row>
    <row r="21" ht="5.25" customHeight="1">
      <c r="A21" s="8"/>
      <c r="B21" s="19" t="s">
        <v>24</v>
      </c>
      <c r="C21" s="20">
        <v>1000.0</v>
      </c>
      <c r="D21" s="20">
        <v>6.520661E7</v>
      </c>
      <c r="E21" s="20">
        <v>2023475.0</v>
      </c>
      <c r="F21" s="20">
        <v>3.661434008771E12</v>
      </c>
      <c r="G21" s="8"/>
      <c r="H21" s="25"/>
      <c r="I21" s="26"/>
      <c r="J21" s="21"/>
      <c r="K21" s="12">
        <f t="shared" si="1"/>
        <v>0</v>
      </c>
    </row>
    <row r="22" ht="8.25" customHeight="1">
      <c r="A22" s="8"/>
      <c r="B22" s="21"/>
      <c r="C22" s="21"/>
      <c r="D22" s="21"/>
      <c r="E22" s="21"/>
      <c r="F22" s="21"/>
      <c r="G22" s="8"/>
      <c r="H22" s="22">
        <v>11.15</v>
      </c>
      <c r="I22" s="23"/>
      <c r="J22" s="24">
        <v>18.9</v>
      </c>
      <c r="K22" s="12">
        <f t="shared" si="1"/>
        <v>9.84991</v>
      </c>
    </row>
    <row r="23" ht="5.25" customHeight="1">
      <c r="A23" s="8"/>
      <c r="B23" s="19" t="s">
        <v>25</v>
      </c>
      <c r="C23" s="20">
        <v>100.0</v>
      </c>
      <c r="D23" s="20">
        <v>6.5178231E7</v>
      </c>
      <c r="E23" s="20">
        <v>1827258.0</v>
      </c>
      <c r="F23" s="20">
        <v>3.661434003844E12</v>
      </c>
      <c r="G23" s="8"/>
      <c r="H23" s="25"/>
      <c r="I23" s="26"/>
      <c r="J23" s="21"/>
      <c r="K23" s="12">
        <f t="shared" si="1"/>
        <v>0</v>
      </c>
    </row>
    <row r="24" ht="8.25" customHeight="1">
      <c r="A24" s="8"/>
      <c r="B24" s="21"/>
      <c r="C24" s="21"/>
      <c r="D24" s="21"/>
      <c r="E24" s="21"/>
      <c r="F24" s="21"/>
      <c r="G24" s="8"/>
      <c r="H24" s="22">
        <v>6.43</v>
      </c>
      <c r="I24" s="23"/>
      <c r="J24" s="24">
        <v>10.9</v>
      </c>
      <c r="K24" s="12">
        <f t="shared" si="1"/>
        <v>5.680262</v>
      </c>
    </row>
    <row r="25" ht="5.25" customHeight="1">
      <c r="A25" s="8"/>
      <c r="B25" s="19" t="s">
        <v>26</v>
      </c>
      <c r="C25" s="20">
        <v>500.0</v>
      </c>
      <c r="D25" s="20">
        <v>6.5222997E7</v>
      </c>
      <c r="E25" s="20">
        <v>1865625.0</v>
      </c>
      <c r="F25" s="20">
        <v>3.661434005862E12</v>
      </c>
      <c r="G25" s="8"/>
      <c r="H25" s="25"/>
      <c r="I25" s="26"/>
      <c r="J25" s="21"/>
      <c r="K25" s="12">
        <f t="shared" si="1"/>
        <v>0</v>
      </c>
    </row>
    <row r="26" ht="9.0" customHeight="1">
      <c r="A26" s="8"/>
      <c r="B26" s="21"/>
      <c r="C26" s="21"/>
      <c r="D26" s="21"/>
      <c r="E26" s="21"/>
      <c r="F26" s="21"/>
      <c r="G26" s="8"/>
      <c r="H26" s="18">
        <v>8.2</v>
      </c>
      <c r="I26" s="6"/>
      <c r="J26" s="16">
        <v>13.9</v>
      </c>
      <c r="K26" s="12">
        <f t="shared" si="1"/>
        <v>7.24388</v>
      </c>
    </row>
    <row r="27" ht="5.25" customHeight="1">
      <c r="A27" s="8"/>
      <c r="B27" s="19" t="s">
        <v>27</v>
      </c>
      <c r="C27" s="20">
        <v>1000.0</v>
      </c>
      <c r="D27" s="20">
        <v>6.5222988E7</v>
      </c>
      <c r="E27" s="20">
        <v>1644466.0</v>
      </c>
      <c r="F27" s="20">
        <v>3.66143400296E12</v>
      </c>
      <c r="G27" s="8"/>
      <c r="H27" s="8"/>
      <c r="J27" s="8"/>
      <c r="K27" s="12">
        <f t="shared" si="1"/>
        <v>0</v>
      </c>
    </row>
    <row r="28" ht="9.0" customHeight="1">
      <c r="A28" s="8"/>
      <c r="B28" s="21"/>
      <c r="C28" s="21"/>
      <c r="D28" s="21"/>
      <c r="E28" s="21"/>
      <c r="F28" s="21"/>
      <c r="G28" s="8"/>
      <c r="H28" s="18">
        <v>9.97</v>
      </c>
      <c r="I28" s="6"/>
      <c r="J28" s="16">
        <v>16.9</v>
      </c>
      <c r="K28" s="12">
        <f t="shared" si="1"/>
        <v>8.807498</v>
      </c>
    </row>
    <row r="29" ht="5.25" customHeight="1">
      <c r="A29" s="8"/>
      <c r="B29" s="19" t="s">
        <v>28</v>
      </c>
      <c r="C29" s="20">
        <v>1000.0</v>
      </c>
      <c r="D29" s="20">
        <v>6.5219106E7</v>
      </c>
      <c r="E29" s="20">
        <v>1865601.0</v>
      </c>
      <c r="F29" s="20">
        <v>3.661434006067E12</v>
      </c>
      <c r="G29" s="8"/>
      <c r="H29" s="8"/>
      <c r="J29" s="8"/>
      <c r="K29" s="12">
        <f t="shared" si="1"/>
        <v>0</v>
      </c>
    </row>
    <row r="30" ht="7.5" customHeight="1">
      <c r="A30" s="8"/>
      <c r="B30" s="21"/>
      <c r="C30" s="21"/>
      <c r="D30" s="21"/>
      <c r="E30" s="21"/>
      <c r="F30" s="21"/>
      <c r="G30" s="8"/>
      <c r="H30" s="22">
        <v>9.97</v>
      </c>
      <c r="I30" s="23"/>
      <c r="J30" s="24">
        <v>16.9</v>
      </c>
      <c r="K30" s="12">
        <f t="shared" si="1"/>
        <v>8.807498</v>
      </c>
    </row>
    <row r="31" ht="15.0" customHeight="1">
      <c r="A31" s="8"/>
      <c r="B31" s="19" t="s">
        <v>29</v>
      </c>
      <c r="C31" s="20">
        <v>200.0</v>
      </c>
      <c r="D31" s="20">
        <v>6.5201945E7</v>
      </c>
      <c r="E31" s="20">
        <v>1872418.0</v>
      </c>
      <c r="F31" s="20">
        <v>3.661434006234E12</v>
      </c>
      <c r="G31" s="8"/>
      <c r="H31" s="25"/>
      <c r="I31" s="26"/>
      <c r="J31" s="21"/>
      <c r="K31" s="12">
        <f t="shared" si="1"/>
        <v>0</v>
      </c>
    </row>
    <row r="32" ht="16.5" customHeight="1">
      <c r="A32" s="8"/>
      <c r="B32" s="21"/>
      <c r="C32" s="21"/>
      <c r="D32" s="21"/>
      <c r="E32" s="21"/>
      <c r="F32" s="21"/>
      <c r="G32" s="8"/>
      <c r="H32" s="18">
        <v>12.33</v>
      </c>
      <c r="I32" s="6"/>
      <c r="J32" s="16">
        <v>20.9</v>
      </c>
      <c r="K32" s="12">
        <f t="shared" si="1"/>
        <v>10.892322</v>
      </c>
    </row>
    <row r="33" ht="5.25" customHeight="1">
      <c r="A33" s="8"/>
      <c r="B33" s="19" t="s">
        <v>30</v>
      </c>
      <c r="C33" s="27">
        <v>50.0</v>
      </c>
      <c r="D33" s="20">
        <v>6.5165987E7</v>
      </c>
      <c r="E33" s="20">
        <v>1874481.0</v>
      </c>
      <c r="F33" s="20">
        <v>3.661434002687E12</v>
      </c>
      <c r="G33" s="8"/>
      <c r="H33" s="8"/>
      <c r="J33" s="8"/>
      <c r="K33" s="12">
        <f t="shared" si="1"/>
        <v>0</v>
      </c>
    </row>
    <row r="34" ht="9.0" customHeight="1">
      <c r="A34" s="8"/>
      <c r="B34" s="21"/>
      <c r="C34" s="21"/>
      <c r="D34" s="21"/>
      <c r="E34" s="21"/>
      <c r="F34" s="21"/>
      <c r="G34" s="8"/>
      <c r="H34" s="18">
        <v>6.43</v>
      </c>
      <c r="I34" s="6"/>
      <c r="J34" s="16">
        <v>10.9</v>
      </c>
      <c r="K34" s="12">
        <f t="shared" si="1"/>
        <v>5.680262</v>
      </c>
    </row>
    <row r="35" ht="5.25" customHeight="1">
      <c r="A35" s="8"/>
      <c r="B35" s="19" t="s">
        <v>31</v>
      </c>
      <c r="C35" s="20">
        <v>125.0</v>
      </c>
      <c r="D35" s="20">
        <v>6.5168554E7</v>
      </c>
      <c r="E35" s="20">
        <v>1874474.0</v>
      </c>
      <c r="F35" s="20">
        <v>3.66143400311E12</v>
      </c>
      <c r="G35" s="8"/>
      <c r="H35" s="8"/>
      <c r="J35" s="8"/>
      <c r="K35" s="12">
        <f t="shared" si="1"/>
        <v>0</v>
      </c>
    </row>
    <row r="36" ht="9.0" customHeight="1">
      <c r="A36" s="8"/>
      <c r="B36" s="21"/>
      <c r="C36" s="21"/>
      <c r="D36" s="21"/>
      <c r="E36" s="21"/>
      <c r="F36" s="21"/>
      <c r="G36" s="8"/>
      <c r="H36" s="18">
        <v>6.43</v>
      </c>
      <c r="I36" s="6"/>
      <c r="J36" s="16">
        <v>10.9</v>
      </c>
      <c r="K36" s="12">
        <f t="shared" si="1"/>
        <v>5.680262</v>
      </c>
    </row>
    <row r="37" ht="5.25" customHeight="1">
      <c r="A37" s="8"/>
      <c r="B37" s="19" t="s">
        <v>32</v>
      </c>
      <c r="C37" s="27">
        <v>50.0</v>
      </c>
      <c r="D37" s="20">
        <v>6.5168555E7</v>
      </c>
      <c r="E37" s="20">
        <v>1811141.0</v>
      </c>
      <c r="F37" s="20">
        <v>3.661434004575E12</v>
      </c>
      <c r="G37" s="8"/>
      <c r="H37" s="8"/>
      <c r="J37" s="8"/>
      <c r="K37" s="12">
        <f t="shared" si="1"/>
        <v>0</v>
      </c>
    </row>
    <row r="38" ht="9.0" customHeight="1">
      <c r="A38" s="8"/>
      <c r="B38" s="21"/>
      <c r="C38" s="21"/>
      <c r="D38" s="21"/>
      <c r="E38" s="21"/>
      <c r="F38" s="21"/>
      <c r="G38" s="8"/>
      <c r="H38" s="18">
        <v>6.43</v>
      </c>
      <c r="I38" s="6"/>
      <c r="J38" s="16">
        <v>10.9</v>
      </c>
      <c r="K38" s="12">
        <f t="shared" si="1"/>
        <v>5.680262</v>
      </c>
    </row>
    <row r="39" ht="5.25" customHeight="1">
      <c r="A39" s="8"/>
      <c r="B39" s="28" t="s">
        <v>33</v>
      </c>
      <c r="C39" s="29"/>
      <c r="D39" s="29"/>
      <c r="E39" s="29"/>
      <c r="F39" s="30"/>
      <c r="G39" s="8"/>
      <c r="H39" s="8"/>
      <c r="J39" s="8"/>
      <c r="K39" s="12">
        <f t="shared" si="1"/>
        <v>0</v>
      </c>
    </row>
    <row r="40" ht="9.0" customHeight="1">
      <c r="A40" s="8"/>
      <c r="B40" s="31"/>
      <c r="C40" s="32"/>
      <c r="D40" s="32"/>
      <c r="E40" s="32"/>
      <c r="F40" s="33"/>
      <c r="G40" s="8"/>
      <c r="H40" s="34"/>
      <c r="I40" s="35"/>
      <c r="J40" s="36"/>
      <c r="K40" s="12">
        <f t="shared" si="1"/>
        <v>0</v>
      </c>
    </row>
    <row r="41" ht="5.25" customHeight="1">
      <c r="A41" s="8"/>
      <c r="B41" s="19" t="s">
        <v>34</v>
      </c>
      <c r="C41" s="20">
        <v>200.0</v>
      </c>
      <c r="D41" s="20">
        <v>6.5222974E7</v>
      </c>
      <c r="E41" s="20">
        <v>1868879.0</v>
      </c>
      <c r="F41" s="20">
        <v>3.661434005268E12</v>
      </c>
      <c r="G41" s="8"/>
      <c r="H41" s="8"/>
      <c r="J41" s="8"/>
      <c r="K41" s="12">
        <f t="shared" si="1"/>
        <v>0</v>
      </c>
    </row>
    <row r="42" ht="9.0" customHeight="1">
      <c r="A42" s="8"/>
      <c r="B42" s="21"/>
      <c r="C42" s="21"/>
      <c r="D42" s="21"/>
      <c r="E42" s="21"/>
      <c r="F42" s="21"/>
      <c r="G42" s="8"/>
      <c r="H42" s="18">
        <v>5.84</v>
      </c>
      <c r="I42" s="6"/>
      <c r="J42" s="16">
        <v>9.9</v>
      </c>
      <c r="K42" s="12">
        <f t="shared" si="1"/>
        <v>5.159056</v>
      </c>
    </row>
    <row r="43" ht="5.25" customHeight="1">
      <c r="A43" s="8"/>
      <c r="B43" s="19" t="s">
        <v>35</v>
      </c>
      <c r="C43" s="20">
        <v>500.0</v>
      </c>
      <c r="D43" s="20">
        <v>6.5222977E7</v>
      </c>
      <c r="E43" s="20">
        <v>1868886.0</v>
      </c>
      <c r="F43" s="20">
        <v>3.661434005886E12</v>
      </c>
      <c r="G43" s="8"/>
      <c r="H43" s="8"/>
      <c r="J43" s="8"/>
      <c r="K43" s="12">
        <f t="shared" si="1"/>
        <v>0</v>
      </c>
    </row>
    <row r="44" ht="9.0" customHeight="1">
      <c r="A44" s="8"/>
      <c r="B44" s="21"/>
      <c r="C44" s="21"/>
      <c r="D44" s="21"/>
      <c r="E44" s="21"/>
      <c r="F44" s="21"/>
      <c r="G44" s="8"/>
      <c r="H44" s="18">
        <v>8.2</v>
      </c>
      <c r="I44" s="6"/>
      <c r="J44" s="16">
        <v>13.9</v>
      </c>
      <c r="K44" s="12">
        <f t="shared" si="1"/>
        <v>7.24388</v>
      </c>
    </row>
    <row r="45" ht="5.25" customHeight="1">
      <c r="A45" s="8"/>
      <c r="B45" s="19" t="s">
        <v>36</v>
      </c>
      <c r="C45" s="27">
        <v>50.0</v>
      </c>
      <c r="D45" s="20">
        <v>6.520198E7</v>
      </c>
      <c r="E45" s="20">
        <v>1862228.0</v>
      </c>
      <c r="F45" s="20">
        <v>3.661434006289E12</v>
      </c>
      <c r="G45" s="8"/>
      <c r="H45" s="8"/>
      <c r="J45" s="8"/>
      <c r="K45" s="12">
        <f t="shared" si="1"/>
        <v>0</v>
      </c>
    </row>
    <row r="46" ht="9.0" customHeight="1">
      <c r="A46" s="8"/>
      <c r="B46" s="21"/>
      <c r="C46" s="21"/>
      <c r="D46" s="21"/>
      <c r="E46" s="21"/>
      <c r="F46" s="21"/>
      <c r="G46" s="8"/>
      <c r="H46" s="18">
        <v>5.25</v>
      </c>
      <c r="I46" s="6"/>
      <c r="J46" s="16">
        <v>8.9</v>
      </c>
      <c r="K46" s="12">
        <f t="shared" si="1"/>
        <v>4.63785</v>
      </c>
    </row>
    <row r="47" ht="5.25" customHeight="1">
      <c r="A47" s="8"/>
      <c r="B47" s="19" t="s">
        <v>37</v>
      </c>
      <c r="C47" s="20">
        <v>100.0</v>
      </c>
      <c r="D47" s="20">
        <v>6.5213173E7</v>
      </c>
      <c r="E47" s="20">
        <v>1874528.0</v>
      </c>
      <c r="F47" s="20">
        <v>3.661434001062E12</v>
      </c>
      <c r="G47" s="8"/>
      <c r="H47" s="8"/>
      <c r="J47" s="8"/>
      <c r="K47" s="12">
        <f t="shared" si="1"/>
        <v>0</v>
      </c>
    </row>
    <row r="48" ht="9.0" customHeight="1">
      <c r="A48" s="8"/>
      <c r="B48" s="21"/>
      <c r="C48" s="21"/>
      <c r="D48" s="21"/>
      <c r="E48" s="21"/>
      <c r="F48" s="21"/>
      <c r="G48" s="8"/>
      <c r="H48" s="18">
        <v>5.84</v>
      </c>
      <c r="I48" s="6"/>
      <c r="J48" s="16">
        <v>9.9</v>
      </c>
      <c r="K48" s="12">
        <f t="shared" si="1"/>
        <v>5.159056</v>
      </c>
    </row>
    <row r="49" ht="5.25" customHeight="1">
      <c r="A49" s="8"/>
      <c r="B49" s="37" t="s">
        <v>38</v>
      </c>
      <c r="C49" s="38"/>
      <c r="D49" s="38"/>
      <c r="E49" s="38"/>
      <c r="F49" s="39"/>
      <c r="G49" s="8"/>
      <c r="H49" s="8"/>
      <c r="J49" s="8"/>
      <c r="K49" s="12">
        <f t="shared" si="1"/>
        <v>0</v>
      </c>
    </row>
    <row r="50" ht="8.25" customHeight="1">
      <c r="A50" s="8"/>
      <c r="B50" s="40"/>
      <c r="C50" s="41"/>
      <c r="D50" s="41"/>
      <c r="E50" s="41"/>
      <c r="F50" s="42"/>
      <c r="G50" s="8"/>
      <c r="H50" s="43"/>
      <c r="I50" s="44"/>
      <c r="J50" s="45"/>
      <c r="K50" s="12">
        <f t="shared" si="1"/>
        <v>0</v>
      </c>
    </row>
    <row r="51" ht="5.25" customHeight="1">
      <c r="A51" s="8"/>
      <c r="B51" s="46" t="s">
        <v>39</v>
      </c>
      <c r="C51" s="47"/>
      <c r="D51" s="47"/>
      <c r="E51" s="47"/>
      <c r="F51" s="47"/>
      <c r="G51" s="8"/>
      <c r="H51" s="48"/>
      <c r="I51" s="49"/>
      <c r="J51" s="50"/>
      <c r="K51" s="12">
        <f t="shared" si="1"/>
        <v>0</v>
      </c>
    </row>
    <row r="52" ht="8.25" customHeight="1">
      <c r="A52" s="8"/>
      <c r="B52" s="51"/>
      <c r="C52" s="52"/>
      <c r="D52" s="52"/>
      <c r="E52" s="52"/>
      <c r="F52" s="52"/>
      <c r="G52" s="8"/>
      <c r="H52" s="8"/>
      <c r="J52" s="8"/>
      <c r="K52" s="12">
        <f t="shared" si="1"/>
        <v>0</v>
      </c>
    </row>
    <row r="53" ht="5.25" customHeight="1">
      <c r="A53" s="8"/>
      <c r="B53" s="19" t="s">
        <v>40</v>
      </c>
      <c r="C53" s="20">
        <v>100.0</v>
      </c>
      <c r="D53" s="20">
        <v>6.5194705E7</v>
      </c>
      <c r="E53" s="20">
        <v>1965325.0</v>
      </c>
      <c r="F53" s="20">
        <v>3.66143401202E12</v>
      </c>
      <c r="G53" s="8"/>
      <c r="H53" s="8"/>
      <c r="J53" s="8"/>
      <c r="K53" s="12">
        <f t="shared" si="1"/>
        <v>0</v>
      </c>
    </row>
    <row r="54" ht="7.5" customHeight="1">
      <c r="A54" s="8"/>
      <c r="B54" s="21"/>
      <c r="C54" s="21"/>
      <c r="D54" s="21"/>
      <c r="E54" s="21"/>
      <c r="F54" s="21"/>
      <c r="G54" s="8"/>
      <c r="H54" s="22">
        <v>14.1</v>
      </c>
      <c r="I54" s="23"/>
      <c r="J54" s="24">
        <v>23.9</v>
      </c>
      <c r="K54" s="12">
        <f t="shared" si="1"/>
        <v>12.45594</v>
      </c>
    </row>
    <row r="55" ht="5.25" customHeight="1">
      <c r="A55" s="8"/>
      <c r="B55" s="19" t="s">
        <v>41</v>
      </c>
      <c r="C55" s="27">
        <v>15.0</v>
      </c>
      <c r="D55" s="20">
        <v>6.5194709E7</v>
      </c>
      <c r="E55" s="20">
        <v>1831392.0</v>
      </c>
      <c r="F55" s="20">
        <v>3.661434005015E12</v>
      </c>
      <c r="G55" s="8"/>
      <c r="H55" s="25"/>
      <c r="I55" s="26"/>
      <c r="J55" s="21"/>
      <c r="K55" s="12">
        <f t="shared" si="1"/>
        <v>0</v>
      </c>
    </row>
    <row r="56" ht="8.25" customHeight="1">
      <c r="A56" s="8"/>
      <c r="B56" s="21"/>
      <c r="C56" s="21"/>
      <c r="D56" s="21"/>
      <c r="E56" s="21"/>
      <c r="F56" s="21"/>
      <c r="G56" s="8"/>
      <c r="H56" s="22">
        <v>11.74</v>
      </c>
      <c r="I56" s="23"/>
      <c r="J56" s="24">
        <v>19.9</v>
      </c>
      <c r="K56" s="12">
        <f t="shared" si="1"/>
        <v>10.371116</v>
      </c>
    </row>
    <row r="57" ht="5.25" customHeight="1">
      <c r="A57" s="8"/>
      <c r="B57" s="19" t="s">
        <v>42</v>
      </c>
      <c r="C57" s="27">
        <v>30.0</v>
      </c>
      <c r="D57" s="20">
        <v>6.5219108E7</v>
      </c>
      <c r="E57" s="20">
        <v>2098695.0</v>
      </c>
      <c r="F57" s="20">
        <v>3.661434009525E12</v>
      </c>
      <c r="G57" s="8"/>
      <c r="H57" s="25"/>
      <c r="I57" s="26"/>
      <c r="J57" s="21"/>
      <c r="K57" s="12">
        <f t="shared" si="1"/>
        <v>0</v>
      </c>
    </row>
    <row r="58" ht="8.25" customHeight="1">
      <c r="A58" s="8"/>
      <c r="B58" s="21"/>
      <c r="C58" s="21"/>
      <c r="D58" s="21"/>
      <c r="E58" s="21"/>
      <c r="F58" s="21"/>
      <c r="G58" s="8"/>
      <c r="H58" s="22">
        <v>16.46</v>
      </c>
      <c r="I58" s="23"/>
      <c r="J58" s="24">
        <v>27.9</v>
      </c>
      <c r="K58" s="12">
        <f t="shared" si="1"/>
        <v>14.540764</v>
      </c>
    </row>
    <row r="59" ht="5.25" customHeight="1">
      <c r="A59" s="8"/>
      <c r="B59" s="19" t="s">
        <v>43</v>
      </c>
      <c r="C59" s="27">
        <v>40.0</v>
      </c>
      <c r="D59" s="20">
        <v>6.5186468E7</v>
      </c>
      <c r="E59" s="20">
        <v>1924315.0</v>
      </c>
      <c r="F59" s="20">
        <v>3.661434007835E12</v>
      </c>
      <c r="G59" s="8"/>
      <c r="H59" s="25"/>
      <c r="I59" s="26"/>
      <c r="J59" s="21"/>
      <c r="K59" s="12">
        <f t="shared" si="1"/>
        <v>0</v>
      </c>
    </row>
    <row r="60" ht="9.75" customHeight="1">
      <c r="A60" s="8"/>
      <c r="B60" s="21"/>
      <c r="C60" s="21"/>
      <c r="D60" s="21"/>
      <c r="E60" s="21"/>
      <c r="F60" s="21"/>
      <c r="G60" s="8"/>
      <c r="H60" s="22">
        <v>12.92</v>
      </c>
      <c r="I60" s="23"/>
      <c r="J60" s="24">
        <v>21.9</v>
      </c>
      <c r="K60" s="12">
        <f t="shared" si="1"/>
        <v>11.413528</v>
      </c>
    </row>
    <row r="61" ht="5.25" customHeight="1">
      <c r="A61" s="8"/>
      <c r="B61" s="19" t="s">
        <v>44</v>
      </c>
      <c r="C61" s="27">
        <v>40.0</v>
      </c>
      <c r="D61" s="20">
        <v>6.5194704E7</v>
      </c>
      <c r="E61" s="20">
        <v>1831354.0</v>
      </c>
      <c r="F61" s="20">
        <v>3.661434005008E12</v>
      </c>
      <c r="G61" s="8"/>
      <c r="H61" s="25"/>
      <c r="I61" s="26"/>
      <c r="J61" s="21"/>
      <c r="K61" s="12">
        <f t="shared" si="1"/>
        <v>0</v>
      </c>
    </row>
    <row r="62" ht="8.25" customHeight="1">
      <c r="A62" s="8"/>
      <c r="B62" s="21"/>
      <c r="C62" s="21"/>
      <c r="D62" s="21"/>
      <c r="E62" s="21"/>
      <c r="F62" s="21"/>
      <c r="G62" s="8"/>
      <c r="H62" s="22">
        <v>12.92</v>
      </c>
      <c r="I62" s="23"/>
      <c r="J62" s="24">
        <v>21.9</v>
      </c>
      <c r="K62" s="12">
        <f t="shared" si="1"/>
        <v>11.413528</v>
      </c>
    </row>
    <row r="63" ht="5.25" customHeight="1">
      <c r="A63" s="8"/>
      <c r="B63" s="19" t="s">
        <v>45</v>
      </c>
      <c r="C63" s="27">
        <v>40.0</v>
      </c>
      <c r="D63" s="20">
        <v>6.5194701E7</v>
      </c>
      <c r="E63" s="20">
        <v>1831361.0</v>
      </c>
      <c r="F63" s="20">
        <v>3.661434005039E12</v>
      </c>
      <c r="G63" s="8"/>
      <c r="H63" s="25"/>
      <c r="I63" s="26"/>
      <c r="J63" s="21"/>
      <c r="K63" s="12">
        <f t="shared" si="1"/>
        <v>0</v>
      </c>
    </row>
    <row r="64" ht="8.25" customHeight="1">
      <c r="A64" s="8"/>
      <c r="B64" s="21"/>
      <c r="C64" s="21"/>
      <c r="D64" s="21"/>
      <c r="E64" s="21"/>
      <c r="F64" s="21"/>
      <c r="G64" s="8"/>
      <c r="H64" s="22">
        <v>13.51</v>
      </c>
      <c r="I64" s="23"/>
      <c r="J64" s="24">
        <v>22.9</v>
      </c>
      <c r="K64" s="12">
        <f t="shared" si="1"/>
        <v>11.934734</v>
      </c>
    </row>
    <row r="65" ht="5.25" customHeight="1">
      <c r="A65" s="8"/>
      <c r="B65" s="19" t="s">
        <v>46</v>
      </c>
      <c r="C65" s="27">
        <v>40.0</v>
      </c>
      <c r="D65" s="20">
        <v>6.51947E7</v>
      </c>
      <c r="E65" s="20">
        <v>1831385.0</v>
      </c>
      <c r="F65" s="20">
        <v>3.661434004995E12</v>
      </c>
      <c r="G65" s="8"/>
      <c r="H65" s="25"/>
      <c r="I65" s="26"/>
      <c r="J65" s="21"/>
      <c r="K65" s="12">
        <f t="shared" si="1"/>
        <v>0</v>
      </c>
    </row>
    <row r="66" ht="8.25" customHeight="1">
      <c r="A66" s="8"/>
      <c r="B66" s="21"/>
      <c r="C66" s="21"/>
      <c r="D66" s="21"/>
      <c r="E66" s="21"/>
      <c r="F66" s="21"/>
      <c r="G66" s="8"/>
      <c r="H66" s="22">
        <v>12.92</v>
      </c>
      <c r="I66" s="23"/>
      <c r="J66" s="24">
        <v>21.9</v>
      </c>
      <c r="K66" s="12">
        <f t="shared" si="1"/>
        <v>11.413528</v>
      </c>
    </row>
    <row r="67" ht="5.25" customHeight="1">
      <c r="A67" s="8"/>
      <c r="B67" s="19" t="s">
        <v>47</v>
      </c>
      <c r="C67" s="27">
        <v>50.0</v>
      </c>
      <c r="D67" s="20">
        <v>6.5194708E7</v>
      </c>
      <c r="E67" s="20">
        <v>1874566.0</v>
      </c>
      <c r="F67" s="20">
        <v>3.661434005503E12</v>
      </c>
      <c r="G67" s="8"/>
      <c r="H67" s="25"/>
      <c r="I67" s="26"/>
      <c r="J67" s="21"/>
      <c r="K67" s="12">
        <f t="shared" si="1"/>
        <v>0</v>
      </c>
    </row>
    <row r="68" ht="8.25" customHeight="1">
      <c r="A68" s="8"/>
      <c r="B68" s="21"/>
      <c r="C68" s="21"/>
      <c r="D68" s="21"/>
      <c r="E68" s="21"/>
      <c r="F68" s="21"/>
      <c r="G68" s="8"/>
      <c r="H68" s="22">
        <v>14.1</v>
      </c>
      <c r="I68" s="23"/>
      <c r="J68" s="24">
        <v>23.9</v>
      </c>
      <c r="K68" s="12">
        <f t="shared" si="1"/>
        <v>12.45594</v>
      </c>
    </row>
    <row r="69" ht="5.25" customHeight="1">
      <c r="A69" s="8"/>
      <c r="B69" s="19" t="s">
        <v>48</v>
      </c>
      <c r="C69" s="27">
        <v>4.0</v>
      </c>
      <c r="D69" s="20">
        <v>6.5197889E7</v>
      </c>
      <c r="E69" s="20">
        <v>1835826.0</v>
      </c>
      <c r="F69" s="20">
        <v>3.661434004421E12</v>
      </c>
      <c r="G69" s="8"/>
      <c r="H69" s="25"/>
      <c r="I69" s="26"/>
      <c r="J69" s="21"/>
      <c r="K69" s="12">
        <f t="shared" si="1"/>
        <v>0</v>
      </c>
    </row>
    <row r="70" ht="8.25" customHeight="1">
      <c r="A70" s="8"/>
      <c r="B70" s="21"/>
      <c r="C70" s="21"/>
      <c r="D70" s="21"/>
      <c r="E70" s="21"/>
      <c r="F70" s="21"/>
      <c r="G70" s="8"/>
      <c r="H70" s="22">
        <v>4.66</v>
      </c>
      <c r="I70" s="23"/>
      <c r="J70" s="24">
        <v>7.9</v>
      </c>
      <c r="K70" s="12">
        <f t="shared" si="1"/>
        <v>4.116644</v>
      </c>
    </row>
    <row r="71" ht="5.25" customHeight="1">
      <c r="A71" s="8"/>
      <c r="B71" s="19" t="s">
        <v>49</v>
      </c>
      <c r="C71" s="27">
        <v>4.0</v>
      </c>
      <c r="D71" s="20">
        <v>6.5197888E7</v>
      </c>
      <c r="E71" s="20">
        <v>1971463.0</v>
      </c>
      <c r="F71" s="20">
        <v>3.661434008245E12</v>
      </c>
      <c r="G71" s="8"/>
      <c r="H71" s="25"/>
      <c r="I71" s="26"/>
      <c r="J71" s="21"/>
      <c r="K71" s="12">
        <f t="shared" si="1"/>
        <v>0</v>
      </c>
    </row>
    <row r="72" ht="8.25" customHeight="1">
      <c r="A72" s="8"/>
      <c r="B72" s="21"/>
      <c r="C72" s="21"/>
      <c r="D72" s="21"/>
      <c r="E72" s="21"/>
      <c r="F72" s="21"/>
      <c r="G72" s="8"/>
      <c r="H72" s="22">
        <v>4.66</v>
      </c>
      <c r="I72" s="23"/>
      <c r="J72" s="24">
        <v>7.9</v>
      </c>
      <c r="K72" s="12">
        <f t="shared" si="1"/>
        <v>4.116644</v>
      </c>
    </row>
    <row r="73" ht="5.25" customHeight="1">
      <c r="A73" s="8"/>
      <c r="B73" s="46" t="s">
        <v>50</v>
      </c>
      <c r="C73" s="47"/>
      <c r="D73" s="47"/>
      <c r="E73" s="47"/>
      <c r="F73" s="47"/>
      <c r="G73" s="8"/>
      <c r="H73" s="25"/>
      <c r="I73" s="26"/>
      <c r="J73" s="21"/>
      <c r="K73" s="12">
        <f t="shared" si="1"/>
        <v>0</v>
      </c>
    </row>
    <row r="74" ht="8.25" customHeight="1">
      <c r="A74" s="8"/>
      <c r="B74" s="51"/>
      <c r="C74" s="52"/>
      <c r="D74" s="52"/>
      <c r="E74" s="52"/>
      <c r="F74" s="52"/>
      <c r="G74" s="8"/>
      <c r="H74" s="8"/>
      <c r="J74" s="8"/>
      <c r="K74" s="12">
        <f t="shared" si="1"/>
        <v>0</v>
      </c>
    </row>
    <row r="75" ht="5.25" customHeight="1">
      <c r="A75" s="8"/>
      <c r="B75" s="19" t="s">
        <v>51</v>
      </c>
      <c r="C75" s="20">
        <v>500.0</v>
      </c>
      <c r="D75" s="20">
        <v>6.5197885E7</v>
      </c>
      <c r="E75" s="20">
        <v>3282116.0</v>
      </c>
      <c r="F75" s="20">
        <v>3.661434004704E12</v>
      </c>
      <c r="G75" s="8"/>
      <c r="H75" s="8"/>
      <c r="J75" s="8"/>
      <c r="K75" s="12">
        <f t="shared" si="1"/>
        <v>0</v>
      </c>
    </row>
    <row r="76" ht="7.5" customHeight="1">
      <c r="A76" s="8"/>
      <c r="B76" s="21"/>
      <c r="C76" s="21"/>
      <c r="D76" s="21"/>
      <c r="E76" s="21"/>
      <c r="F76" s="21"/>
      <c r="G76" s="8"/>
      <c r="H76" s="22">
        <v>10.92</v>
      </c>
      <c r="I76" s="23"/>
      <c r="J76" s="24">
        <v>18.5</v>
      </c>
      <c r="K76" s="12">
        <f t="shared" si="1"/>
        <v>9.646728</v>
      </c>
    </row>
    <row r="77" ht="5.25" customHeight="1">
      <c r="A77" s="8"/>
      <c r="B77" s="19" t="s">
        <v>52</v>
      </c>
      <c r="C77" s="20">
        <v>200.0</v>
      </c>
      <c r="D77" s="20">
        <v>6.5197882E7</v>
      </c>
      <c r="E77" s="20">
        <v>1831415.0</v>
      </c>
      <c r="F77" s="20">
        <v>3.661434004711E12</v>
      </c>
      <c r="G77" s="8"/>
      <c r="H77" s="25"/>
      <c r="I77" s="26"/>
      <c r="J77" s="21"/>
      <c r="K77" s="12">
        <f t="shared" si="1"/>
        <v>0</v>
      </c>
    </row>
    <row r="78" ht="6.75" customHeight="1">
      <c r="A78" s="8"/>
      <c r="B78" s="21"/>
      <c r="C78" s="21"/>
      <c r="D78" s="21"/>
      <c r="E78" s="21"/>
      <c r="F78" s="21"/>
      <c r="G78" s="8"/>
      <c r="H78" s="22">
        <v>9.97</v>
      </c>
      <c r="I78" s="23"/>
      <c r="J78" s="24">
        <v>16.9</v>
      </c>
      <c r="K78" s="12">
        <f t="shared" si="1"/>
        <v>8.807498</v>
      </c>
    </row>
    <row r="79" ht="5.25" customHeight="1">
      <c r="A79" s="8"/>
      <c r="B79" s="19" t="s">
        <v>53</v>
      </c>
      <c r="C79" s="27">
        <v>50.0</v>
      </c>
      <c r="D79" s="20">
        <v>6.5197884E7</v>
      </c>
      <c r="E79" s="20">
        <v>2000148.0</v>
      </c>
      <c r="F79" s="20">
        <v>3.66143400551E12</v>
      </c>
      <c r="G79" s="8"/>
      <c r="H79" s="25"/>
      <c r="I79" s="26"/>
      <c r="J79" s="21"/>
      <c r="K79" s="12">
        <f t="shared" si="1"/>
        <v>0</v>
      </c>
    </row>
    <row r="80" ht="8.25" customHeight="1">
      <c r="A80" s="8"/>
      <c r="B80" s="21"/>
      <c r="C80" s="21"/>
      <c r="D80" s="21"/>
      <c r="E80" s="21"/>
      <c r="F80" s="21"/>
      <c r="G80" s="8"/>
      <c r="H80" s="53">
        <v>4.66</v>
      </c>
      <c r="I80" s="6"/>
      <c r="J80" s="16">
        <v>7.9</v>
      </c>
      <c r="K80" s="12">
        <f t="shared" si="1"/>
        <v>4.116644</v>
      </c>
    </row>
    <row r="81" ht="5.25" customHeight="1">
      <c r="A81" s="8"/>
      <c r="B81" s="46" t="s">
        <v>54</v>
      </c>
      <c r="C81" s="44"/>
      <c r="D81" s="44"/>
      <c r="E81" s="44"/>
      <c r="F81" s="44"/>
      <c r="G81" s="8"/>
      <c r="H81" s="54"/>
      <c r="I81" s="35"/>
      <c r="J81" s="36"/>
      <c r="K81" s="12">
        <f t="shared" si="1"/>
        <v>0</v>
      </c>
    </row>
    <row r="82" ht="8.25" customHeight="1">
      <c r="A82" s="8"/>
      <c r="B82" s="25"/>
      <c r="C82" s="49"/>
      <c r="D82" s="49"/>
      <c r="E82" s="49"/>
      <c r="F82" s="49"/>
      <c r="G82" s="8"/>
      <c r="H82" s="8"/>
      <c r="J82" s="8"/>
      <c r="K82" s="12">
        <f t="shared" si="1"/>
        <v>0</v>
      </c>
    </row>
    <row r="83" ht="5.25" customHeight="1">
      <c r="A83" s="8"/>
      <c r="B83" s="19" t="s">
        <v>55</v>
      </c>
      <c r="C83" s="20">
        <v>250.0</v>
      </c>
      <c r="D83" s="20">
        <v>6.5241134E7</v>
      </c>
      <c r="E83" s="20">
        <v>1943408.0</v>
      </c>
      <c r="F83" s="20">
        <v>3.661434023491E12</v>
      </c>
      <c r="G83" s="8"/>
      <c r="H83" s="8"/>
      <c r="J83" s="8"/>
      <c r="K83" s="12">
        <f t="shared" si="1"/>
        <v>0</v>
      </c>
    </row>
    <row r="84" ht="7.5" customHeight="1">
      <c r="A84" s="8"/>
      <c r="B84" s="21"/>
      <c r="C84" s="21"/>
      <c r="D84" s="21"/>
      <c r="E84" s="21"/>
      <c r="F84" s="21"/>
      <c r="G84" s="8"/>
      <c r="H84" s="22">
        <v>12.39</v>
      </c>
      <c r="I84" s="23"/>
      <c r="J84" s="24">
        <v>21.0</v>
      </c>
      <c r="K84" s="12">
        <f t="shared" si="1"/>
        <v>10.945326</v>
      </c>
    </row>
    <row r="85" ht="5.25" customHeight="1">
      <c r="A85" s="8"/>
      <c r="B85" s="46" t="s">
        <v>56</v>
      </c>
      <c r="C85" s="44"/>
      <c r="D85" s="44"/>
      <c r="E85" s="44"/>
      <c r="F85" s="44"/>
      <c r="G85" s="8"/>
      <c r="H85" s="25"/>
      <c r="I85" s="26"/>
      <c r="J85" s="21"/>
      <c r="K85" s="12">
        <f t="shared" si="1"/>
        <v>0</v>
      </c>
    </row>
    <row r="86" ht="8.25" customHeight="1">
      <c r="A86" s="8"/>
      <c r="B86" s="25"/>
      <c r="C86" s="49"/>
      <c r="D86" s="49"/>
      <c r="E86" s="49"/>
      <c r="F86" s="49"/>
      <c r="G86" s="8"/>
      <c r="H86" s="8"/>
      <c r="J86" s="8"/>
      <c r="K86" s="12">
        <f t="shared" si="1"/>
        <v>0</v>
      </c>
    </row>
    <row r="87" ht="5.25" customHeight="1">
      <c r="A87" s="8"/>
      <c r="B87" s="19" t="s">
        <v>57</v>
      </c>
      <c r="C87" s="27">
        <v>30.0</v>
      </c>
      <c r="D87" s="20">
        <v>6.5240797E7</v>
      </c>
      <c r="E87" s="55">
        <v>2177765.0</v>
      </c>
      <c r="F87" s="20">
        <v>3.661434023422E12</v>
      </c>
      <c r="G87" s="8"/>
      <c r="H87" s="8"/>
      <c r="J87" s="8"/>
      <c r="K87" s="12">
        <f t="shared" si="1"/>
        <v>0</v>
      </c>
    </row>
    <row r="88" ht="6.0" customHeight="1">
      <c r="A88" s="8"/>
      <c r="B88" s="21"/>
      <c r="C88" s="21"/>
      <c r="D88" s="21"/>
      <c r="E88" s="21"/>
      <c r="F88" s="21"/>
      <c r="G88" s="8"/>
      <c r="H88" s="22">
        <v>17.41</v>
      </c>
      <c r="I88" s="23"/>
      <c r="J88" s="24">
        <v>29.5</v>
      </c>
      <c r="K88" s="12">
        <f t="shared" si="1"/>
        <v>15.379994</v>
      </c>
    </row>
    <row r="89" ht="5.25" customHeight="1">
      <c r="A89" s="8"/>
      <c r="B89" s="19" t="s">
        <v>58</v>
      </c>
      <c r="C89" s="27">
        <v>40.0</v>
      </c>
      <c r="D89" s="20">
        <v>6.5241144E7</v>
      </c>
      <c r="E89" s="20">
        <v>1943323.0</v>
      </c>
      <c r="F89" s="20">
        <v>3.661434023453E12</v>
      </c>
      <c r="G89" s="8"/>
      <c r="H89" s="25"/>
      <c r="I89" s="26"/>
      <c r="J89" s="21"/>
      <c r="K89" s="12">
        <f t="shared" si="1"/>
        <v>0</v>
      </c>
    </row>
    <row r="90" ht="8.25" customHeight="1">
      <c r="A90" s="8"/>
      <c r="B90" s="21"/>
      <c r="C90" s="21"/>
      <c r="D90" s="21"/>
      <c r="E90" s="21"/>
      <c r="F90" s="21"/>
      <c r="G90" s="8"/>
      <c r="H90" s="22">
        <v>14.46</v>
      </c>
      <c r="I90" s="23"/>
      <c r="J90" s="24">
        <v>24.5</v>
      </c>
      <c r="K90" s="12">
        <f t="shared" si="1"/>
        <v>12.773964</v>
      </c>
    </row>
    <row r="91" ht="5.25" customHeight="1">
      <c r="A91" s="8"/>
      <c r="B91" s="19" t="s">
        <v>59</v>
      </c>
      <c r="C91" s="27">
        <v>40.0</v>
      </c>
      <c r="D91" s="20">
        <v>6.5220738E7</v>
      </c>
      <c r="E91" s="20">
        <v>1735577.0</v>
      </c>
      <c r="F91" s="20">
        <v>3.66143402346E12</v>
      </c>
      <c r="G91" s="8"/>
      <c r="H91" s="25"/>
      <c r="I91" s="26"/>
      <c r="J91" s="21"/>
      <c r="K91" s="12">
        <f t="shared" si="1"/>
        <v>0</v>
      </c>
    </row>
    <row r="92" ht="8.25" customHeight="1">
      <c r="A92" s="8"/>
      <c r="B92" s="21"/>
      <c r="C92" s="21"/>
      <c r="D92" s="21"/>
      <c r="E92" s="21"/>
      <c r="F92" s="21"/>
      <c r="G92" s="8"/>
      <c r="H92" s="22">
        <v>14.46</v>
      </c>
      <c r="I92" s="23"/>
      <c r="J92" s="24">
        <v>24.5</v>
      </c>
      <c r="K92" s="12">
        <f t="shared" si="1"/>
        <v>12.773964</v>
      </c>
    </row>
    <row r="93" ht="5.25" customHeight="1">
      <c r="A93" s="8"/>
      <c r="B93" s="19" t="s">
        <v>60</v>
      </c>
      <c r="C93" s="27">
        <v>40.0</v>
      </c>
      <c r="D93" s="20">
        <v>6.5220741E7</v>
      </c>
      <c r="E93" s="20">
        <v>1843616.0</v>
      </c>
      <c r="F93" s="20">
        <v>3.661434023446E12</v>
      </c>
      <c r="G93" s="8"/>
      <c r="H93" s="25"/>
      <c r="I93" s="26"/>
      <c r="J93" s="21"/>
      <c r="K93" s="12">
        <f t="shared" si="1"/>
        <v>0</v>
      </c>
    </row>
    <row r="94" ht="8.25" customHeight="1">
      <c r="A94" s="8"/>
      <c r="B94" s="21"/>
      <c r="C94" s="21"/>
      <c r="D94" s="21"/>
      <c r="E94" s="21"/>
      <c r="F94" s="21"/>
      <c r="G94" s="8"/>
      <c r="H94" s="22">
        <v>14.69</v>
      </c>
      <c r="I94" s="23"/>
      <c r="J94" s="24">
        <v>24.9</v>
      </c>
      <c r="K94" s="12">
        <f t="shared" si="1"/>
        <v>12.977146</v>
      </c>
    </row>
    <row r="95" ht="5.25" customHeight="1">
      <c r="A95" s="8"/>
      <c r="B95" s="19" t="s">
        <v>61</v>
      </c>
      <c r="C95" s="27">
        <v>40.0</v>
      </c>
      <c r="D95" s="20">
        <v>6.5220735E7</v>
      </c>
      <c r="E95" s="20">
        <v>1735560.0</v>
      </c>
      <c r="F95" s="20">
        <v>3.661434023477E12</v>
      </c>
      <c r="G95" s="8"/>
      <c r="H95" s="25"/>
      <c r="I95" s="26"/>
      <c r="J95" s="21"/>
      <c r="K95" s="12">
        <f t="shared" si="1"/>
        <v>0</v>
      </c>
    </row>
    <row r="96" ht="8.25" customHeight="1">
      <c r="A96" s="8"/>
      <c r="B96" s="21"/>
      <c r="C96" s="21"/>
      <c r="D96" s="21"/>
      <c r="E96" s="21"/>
      <c r="F96" s="21"/>
      <c r="G96" s="8"/>
      <c r="H96" s="22">
        <v>15.64</v>
      </c>
      <c r="I96" s="23"/>
      <c r="J96" s="24">
        <v>26.5</v>
      </c>
      <c r="K96" s="12">
        <f t="shared" si="1"/>
        <v>13.816376</v>
      </c>
    </row>
    <row r="97" ht="5.25" customHeight="1">
      <c r="A97" s="8"/>
      <c r="B97" s="19" t="s">
        <v>62</v>
      </c>
      <c r="C97" s="27">
        <v>40.0</v>
      </c>
      <c r="D97" s="20">
        <v>6.5220737E7</v>
      </c>
      <c r="E97" s="20">
        <v>2008700.0</v>
      </c>
      <c r="F97" s="20">
        <v>3.661434023484E12</v>
      </c>
      <c r="G97" s="8"/>
      <c r="H97" s="25"/>
      <c r="I97" s="26"/>
      <c r="J97" s="21"/>
      <c r="K97" s="12">
        <f t="shared" si="1"/>
        <v>0</v>
      </c>
    </row>
    <row r="98" ht="8.25" customHeight="1">
      <c r="A98" s="8"/>
      <c r="B98" s="21"/>
      <c r="C98" s="21"/>
      <c r="D98" s="21"/>
      <c r="E98" s="21"/>
      <c r="F98" s="21"/>
      <c r="G98" s="8"/>
      <c r="H98" s="22">
        <v>15.64</v>
      </c>
      <c r="I98" s="23"/>
      <c r="J98" s="24">
        <v>26.5</v>
      </c>
      <c r="K98" s="12">
        <f t="shared" si="1"/>
        <v>13.816376</v>
      </c>
    </row>
    <row r="99" ht="5.25" customHeight="1">
      <c r="A99" s="8"/>
      <c r="B99" s="56" t="s">
        <v>63</v>
      </c>
      <c r="C99" s="44"/>
      <c r="D99" s="44"/>
      <c r="E99" s="44"/>
      <c r="F99" s="45"/>
      <c r="G99" s="8"/>
      <c r="H99" s="25"/>
      <c r="I99" s="26"/>
      <c r="J99" s="21"/>
      <c r="K99" s="12">
        <f t="shared" si="1"/>
        <v>0</v>
      </c>
    </row>
    <row r="100" ht="8.25" customHeight="1">
      <c r="A100" s="8"/>
      <c r="B100" s="25"/>
      <c r="C100" s="49"/>
      <c r="D100" s="49"/>
      <c r="E100" s="49"/>
      <c r="F100" s="50"/>
      <c r="G100" s="8"/>
      <c r="H100" s="57"/>
      <c r="I100" s="44"/>
      <c r="J100" s="45"/>
      <c r="K100" s="12">
        <f t="shared" si="1"/>
        <v>0</v>
      </c>
    </row>
    <row r="101" ht="5.25" customHeight="1">
      <c r="A101" s="8"/>
      <c r="B101" s="46" t="s">
        <v>64</v>
      </c>
      <c r="C101" s="44"/>
      <c r="D101" s="44"/>
      <c r="E101" s="44"/>
      <c r="F101" s="44"/>
      <c r="G101" s="8"/>
      <c r="H101" s="48"/>
      <c r="I101" s="49"/>
      <c r="J101" s="50"/>
      <c r="K101" s="12">
        <f t="shared" si="1"/>
        <v>0</v>
      </c>
    </row>
    <row r="102" ht="8.25" customHeight="1">
      <c r="A102" s="8"/>
      <c r="B102" s="25"/>
      <c r="C102" s="49"/>
      <c r="D102" s="49"/>
      <c r="E102" s="49"/>
      <c r="F102" s="49"/>
      <c r="G102" s="8"/>
      <c r="H102" s="8"/>
      <c r="J102" s="8"/>
      <c r="K102" s="12">
        <f t="shared" si="1"/>
        <v>0</v>
      </c>
    </row>
    <row r="103" ht="5.25" customHeight="1">
      <c r="A103" s="8"/>
      <c r="B103" s="19" t="s">
        <v>65</v>
      </c>
      <c r="C103" s="20">
        <v>150.0</v>
      </c>
      <c r="D103" s="20">
        <v>6.518307E7</v>
      </c>
      <c r="E103" s="20">
        <v>2074705.0</v>
      </c>
      <c r="F103" s="20">
        <v>3.66143400944E12</v>
      </c>
      <c r="G103" s="8"/>
      <c r="H103" s="8"/>
      <c r="J103" s="8"/>
      <c r="K103" s="12">
        <f t="shared" si="1"/>
        <v>0</v>
      </c>
    </row>
    <row r="104" ht="7.5" customHeight="1">
      <c r="A104" s="8"/>
      <c r="B104" s="21"/>
      <c r="C104" s="21"/>
      <c r="D104" s="21"/>
      <c r="E104" s="21"/>
      <c r="F104" s="21"/>
      <c r="G104" s="8"/>
      <c r="H104" s="22">
        <v>9.38</v>
      </c>
      <c r="I104" s="23"/>
      <c r="J104" s="24">
        <v>15.9</v>
      </c>
      <c r="K104" s="12">
        <f t="shared" si="1"/>
        <v>8.286292</v>
      </c>
    </row>
    <row r="105" ht="5.25" customHeight="1">
      <c r="A105" s="8"/>
      <c r="B105" s="46" t="s">
        <v>66</v>
      </c>
      <c r="C105" s="44"/>
      <c r="D105" s="44"/>
      <c r="E105" s="44"/>
      <c r="F105" s="44"/>
      <c r="G105" s="8"/>
      <c r="H105" s="25"/>
      <c r="I105" s="26"/>
      <c r="J105" s="21"/>
      <c r="K105" s="12">
        <f t="shared" si="1"/>
        <v>0</v>
      </c>
    </row>
    <row r="106" ht="6.75" customHeight="1">
      <c r="A106" s="8"/>
      <c r="B106" s="25"/>
      <c r="C106" s="49"/>
      <c r="D106" s="49"/>
      <c r="E106" s="49"/>
      <c r="F106" s="49"/>
      <c r="G106" s="8"/>
      <c r="H106" s="8"/>
      <c r="J106" s="8"/>
      <c r="K106" s="12">
        <f t="shared" si="1"/>
        <v>0</v>
      </c>
    </row>
    <row r="107" ht="5.25" customHeight="1">
      <c r="A107" s="8"/>
      <c r="B107" s="19" t="s">
        <v>67</v>
      </c>
      <c r="C107" s="27">
        <v>15.0</v>
      </c>
      <c r="D107" s="20">
        <v>6.5220765E7</v>
      </c>
      <c r="E107" s="20">
        <v>2016613.0</v>
      </c>
      <c r="F107" s="20">
        <v>3.661434023521E12</v>
      </c>
      <c r="G107" s="8"/>
      <c r="H107" s="8"/>
      <c r="J107" s="8"/>
      <c r="K107" s="12">
        <f t="shared" si="1"/>
        <v>0</v>
      </c>
    </row>
    <row r="108" ht="6.0" customHeight="1">
      <c r="A108" s="8"/>
      <c r="B108" s="21"/>
      <c r="C108" s="21"/>
      <c r="D108" s="21"/>
      <c r="E108" s="21"/>
      <c r="F108" s="21"/>
      <c r="G108" s="8"/>
      <c r="H108" s="22">
        <v>13.51</v>
      </c>
      <c r="I108" s="23"/>
      <c r="J108" s="24">
        <v>22.9</v>
      </c>
      <c r="K108" s="12">
        <f t="shared" si="1"/>
        <v>11.934734</v>
      </c>
    </row>
    <row r="109" ht="5.25" customHeight="1">
      <c r="A109" s="8"/>
      <c r="B109" s="19" t="s">
        <v>68</v>
      </c>
      <c r="C109" s="27">
        <v>40.0</v>
      </c>
      <c r="D109" s="20">
        <v>6.5220763E7</v>
      </c>
      <c r="E109" s="20">
        <v>2016606.0</v>
      </c>
      <c r="F109" s="20">
        <v>3.661434023507E12</v>
      </c>
      <c r="G109" s="8"/>
      <c r="H109" s="25"/>
      <c r="I109" s="26"/>
      <c r="J109" s="21"/>
      <c r="K109" s="12">
        <f t="shared" si="1"/>
        <v>0</v>
      </c>
    </row>
    <row r="110" ht="6.75" customHeight="1">
      <c r="A110" s="8"/>
      <c r="B110" s="21"/>
      <c r="C110" s="21"/>
      <c r="D110" s="21"/>
      <c r="E110" s="21"/>
      <c r="F110" s="21"/>
      <c r="G110" s="8"/>
      <c r="H110" s="22">
        <v>14.1</v>
      </c>
      <c r="I110" s="23"/>
      <c r="J110" s="24">
        <v>23.9</v>
      </c>
      <c r="K110" s="12">
        <f t="shared" si="1"/>
        <v>12.45594</v>
      </c>
    </row>
    <row r="111" ht="5.25" customHeight="1">
      <c r="A111" s="8"/>
      <c r="B111" s="19" t="s">
        <v>69</v>
      </c>
      <c r="C111" s="27">
        <v>40.0</v>
      </c>
      <c r="D111" s="20">
        <v>6.5220764E7</v>
      </c>
      <c r="E111" s="20">
        <v>2016590.0</v>
      </c>
      <c r="F111" s="20">
        <v>3.661434023514E12</v>
      </c>
      <c r="G111" s="8"/>
      <c r="H111" s="25"/>
      <c r="I111" s="26"/>
      <c r="J111" s="21"/>
      <c r="K111" s="12">
        <f t="shared" si="1"/>
        <v>0</v>
      </c>
    </row>
    <row r="112" ht="6.75" customHeight="1">
      <c r="A112" s="8"/>
      <c r="B112" s="21"/>
      <c r="C112" s="21"/>
      <c r="D112" s="21"/>
      <c r="E112" s="21"/>
      <c r="F112" s="21"/>
      <c r="G112" s="8"/>
      <c r="H112" s="22">
        <v>14.1</v>
      </c>
      <c r="I112" s="23"/>
      <c r="J112" s="24">
        <v>23.9</v>
      </c>
      <c r="K112" s="12">
        <f t="shared" si="1"/>
        <v>12.45594</v>
      </c>
    </row>
    <row r="113" ht="5.25" customHeight="1">
      <c r="A113" s="8"/>
      <c r="B113" s="8"/>
      <c r="C113" s="8"/>
      <c r="D113" s="8"/>
      <c r="E113" s="8"/>
      <c r="F113" s="8"/>
      <c r="G113" s="8"/>
      <c r="H113" s="25"/>
      <c r="I113" s="26"/>
      <c r="J113" s="21"/>
      <c r="K113" s="12">
        <f t="shared" si="1"/>
        <v>0</v>
      </c>
    </row>
    <row r="114" ht="13.5" customHeight="1">
      <c r="A114" s="58"/>
      <c r="B114" s="3"/>
      <c r="C114" s="4" t="s">
        <v>70</v>
      </c>
      <c r="D114" s="4" t="s">
        <v>71</v>
      </c>
      <c r="E114" s="4" t="s">
        <v>72</v>
      </c>
      <c r="F114" s="4" t="s">
        <v>73</v>
      </c>
      <c r="G114" s="2"/>
      <c r="I114" s="4" t="s">
        <v>74</v>
      </c>
      <c r="J114" s="4" t="s">
        <v>75</v>
      </c>
      <c r="K114" s="12">
        <f t="shared" si="1"/>
        <v>0</v>
      </c>
    </row>
    <row r="115" ht="9.75" customHeight="1">
      <c r="B115" s="59" t="s">
        <v>76</v>
      </c>
      <c r="C115" s="35"/>
      <c r="D115" s="35"/>
      <c r="E115" s="35"/>
      <c r="F115" s="36"/>
      <c r="G115" s="8"/>
      <c r="I115" s="60"/>
      <c r="J115" s="36"/>
      <c r="K115" s="12">
        <f t="shared" si="1"/>
        <v>0</v>
      </c>
    </row>
    <row r="116" ht="9.75" customHeight="1">
      <c r="B116" s="17" t="s">
        <v>77</v>
      </c>
      <c r="C116" s="35"/>
      <c r="D116" s="35"/>
      <c r="E116" s="35"/>
      <c r="F116" s="35"/>
      <c r="G116" s="8"/>
      <c r="I116" s="8"/>
      <c r="J116" s="8"/>
      <c r="K116" s="12">
        <f t="shared" si="1"/>
        <v>0</v>
      </c>
    </row>
    <row r="117" ht="9.75" customHeight="1">
      <c r="B117" s="13" t="s">
        <v>78</v>
      </c>
      <c r="C117" s="14">
        <v>100.0</v>
      </c>
      <c r="D117" s="14">
        <v>6.5207023E7</v>
      </c>
      <c r="E117" s="14">
        <v>1979759.0</v>
      </c>
      <c r="F117" s="14">
        <v>3.661434010071E12</v>
      </c>
      <c r="G117" s="8"/>
      <c r="I117" s="16">
        <v>9.97</v>
      </c>
      <c r="J117" s="16">
        <v>16.9</v>
      </c>
      <c r="K117" s="12">
        <f t="shared" ref="K117:K140" si="2">I117*0.7*1.262</f>
        <v>8.807498</v>
      </c>
    </row>
    <row r="118" ht="9.75" customHeight="1">
      <c r="B118" s="13" t="s">
        <v>79</v>
      </c>
      <c r="C118" s="14">
        <v>150.0</v>
      </c>
      <c r="D118" s="14">
        <v>6.5178918E7</v>
      </c>
      <c r="E118" s="14">
        <v>2178878.0</v>
      </c>
      <c r="F118" s="14">
        <v>3.661434009983E12</v>
      </c>
      <c r="G118" s="8"/>
      <c r="I118" s="16">
        <v>7.61</v>
      </c>
      <c r="J118" s="16">
        <v>12.9</v>
      </c>
      <c r="K118" s="12">
        <f t="shared" si="2"/>
        <v>6.722674</v>
      </c>
    </row>
    <row r="119" ht="9.75" customHeight="1">
      <c r="B119" s="13" t="s">
        <v>80</v>
      </c>
      <c r="C119" s="14">
        <v>500.0</v>
      </c>
      <c r="D119" s="14">
        <v>6.5178917E7</v>
      </c>
      <c r="E119" s="14">
        <v>1856968.0</v>
      </c>
      <c r="F119" s="14">
        <v>3.66143400999E12</v>
      </c>
      <c r="G119" s="8"/>
      <c r="I119" s="16">
        <v>9.97</v>
      </c>
      <c r="J119" s="16">
        <v>16.9</v>
      </c>
      <c r="K119" s="12">
        <f t="shared" si="2"/>
        <v>8.807498</v>
      </c>
    </row>
    <row r="120" ht="9.75" customHeight="1">
      <c r="B120" s="13" t="s">
        <v>81</v>
      </c>
      <c r="C120" s="14">
        <v>150.0</v>
      </c>
      <c r="D120" s="14">
        <v>6.5207039E7</v>
      </c>
      <c r="E120" s="14">
        <v>1706157.0</v>
      </c>
      <c r="F120" s="14">
        <v>3.661434010002E12</v>
      </c>
      <c r="G120" s="8"/>
      <c r="I120" s="16">
        <v>8.2</v>
      </c>
      <c r="J120" s="16">
        <v>13.9</v>
      </c>
      <c r="K120" s="12">
        <f t="shared" si="2"/>
        <v>7.24388</v>
      </c>
    </row>
    <row r="121" ht="9.75" customHeight="1">
      <c r="B121" s="17" t="s">
        <v>82</v>
      </c>
      <c r="C121" s="35"/>
      <c r="D121" s="35"/>
      <c r="E121" s="35"/>
      <c r="F121" s="35"/>
      <c r="G121" s="8"/>
      <c r="I121" s="8"/>
      <c r="J121" s="8"/>
      <c r="K121" s="12">
        <f t="shared" si="2"/>
        <v>0</v>
      </c>
    </row>
    <row r="122" ht="9.75" customHeight="1">
      <c r="B122" s="13" t="s">
        <v>83</v>
      </c>
      <c r="C122" s="14">
        <v>250.0</v>
      </c>
      <c r="D122" s="14">
        <v>6.5178915E7</v>
      </c>
      <c r="E122" s="14">
        <v>1979780.0</v>
      </c>
      <c r="F122" s="14">
        <v>3.661434010125E12</v>
      </c>
      <c r="G122" s="8"/>
      <c r="I122" s="16">
        <v>10.03</v>
      </c>
      <c r="J122" s="16">
        <v>17.0</v>
      </c>
      <c r="K122" s="12">
        <f t="shared" si="2"/>
        <v>8.860502</v>
      </c>
    </row>
    <row r="123" ht="9.75" customHeight="1">
      <c r="B123" s="13" t="s">
        <v>84</v>
      </c>
      <c r="C123" s="14">
        <v>100.0</v>
      </c>
      <c r="D123" s="14">
        <v>6.5207024E7</v>
      </c>
      <c r="E123" s="14">
        <v>1612120.0</v>
      </c>
      <c r="F123" s="14">
        <v>3.661434010019E12</v>
      </c>
      <c r="G123" s="8"/>
      <c r="I123" s="16">
        <v>9.97</v>
      </c>
      <c r="J123" s="16">
        <v>16.9</v>
      </c>
      <c r="K123" s="12">
        <f t="shared" si="2"/>
        <v>8.807498</v>
      </c>
    </row>
    <row r="124" ht="9.75" customHeight="1">
      <c r="B124" s="61" t="s">
        <v>85</v>
      </c>
      <c r="C124" s="14">
        <v>50.0</v>
      </c>
      <c r="D124" s="14">
        <v>6.5207019E7</v>
      </c>
      <c r="E124" s="14">
        <v>1979766.0</v>
      </c>
      <c r="F124" s="14">
        <v>3.661434010064E12</v>
      </c>
      <c r="G124" s="8"/>
      <c r="I124" s="16">
        <v>9.97</v>
      </c>
      <c r="J124" s="16">
        <v>16.9</v>
      </c>
      <c r="K124" s="12">
        <f t="shared" si="2"/>
        <v>8.807498</v>
      </c>
    </row>
    <row r="125" ht="9.75" customHeight="1">
      <c r="B125" s="13" t="s">
        <v>86</v>
      </c>
      <c r="C125" s="14">
        <v>40.0</v>
      </c>
      <c r="D125" s="14">
        <v>6.5206869E7</v>
      </c>
      <c r="E125" s="14">
        <v>2156159.0</v>
      </c>
      <c r="F125" s="14">
        <v>3.661434010101E12</v>
      </c>
      <c r="G125" s="8"/>
      <c r="I125" s="16">
        <v>18.23</v>
      </c>
      <c r="J125" s="16">
        <v>30.9</v>
      </c>
      <c r="K125" s="12">
        <f t="shared" si="2"/>
        <v>16.104382</v>
      </c>
    </row>
    <row r="126" ht="10.5" customHeight="1">
      <c r="B126" s="13" t="s">
        <v>87</v>
      </c>
      <c r="C126" s="14">
        <v>40.0</v>
      </c>
      <c r="D126" s="14">
        <v>6.5207037E7</v>
      </c>
      <c r="E126" s="14">
        <v>2178847.0</v>
      </c>
      <c r="F126" s="14">
        <v>3.661434010033E12</v>
      </c>
      <c r="G126" s="8"/>
      <c r="I126" s="16">
        <v>10.56</v>
      </c>
      <c r="J126" s="16">
        <v>17.9</v>
      </c>
      <c r="K126" s="12">
        <f t="shared" si="2"/>
        <v>9.328704</v>
      </c>
    </row>
    <row r="127" ht="5.25" customHeight="1">
      <c r="B127" s="19" t="s">
        <v>88</v>
      </c>
      <c r="C127" s="27">
        <v>40.0</v>
      </c>
      <c r="D127" s="20">
        <v>6.5207922E7</v>
      </c>
      <c r="E127" s="20">
        <v>1779373.0</v>
      </c>
      <c r="F127" s="20">
        <v>3.661434010088E12</v>
      </c>
      <c r="G127" s="8"/>
      <c r="I127" s="8"/>
      <c r="J127" s="8"/>
      <c r="K127" s="12">
        <f t="shared" si="2"/>
        <v>0</v>
      </c>
    </row>
    <row r="128" ht="9.0" customHeight="1">
      <c r="B128" s="21"/>
      <c r="C128" s="21"/>
      <c r="D128" s="21"/>
      <c r="E128" s="21"/>
      <c r="F128" s="21"/>
      <c r="G128" s="8"/>
      <c r="I128" s="16">
        <v>11.15</v>
      </c>
      <c r="J128" s="16">
        <v>18.9</v>
      </c>
      <c r="K128" s="12">
        <f t="shared" si="2"/>
        <v>9.84991</v>
      </c>
    </row>
    <row r="129" ht="5.25" customHeight="1">
      <c r="B129" s="19" t="s">
        <v>89</v>
      </c>
      <c r="C129" s="27">
        <v>40.0</v>
      </c>
      <c r="D129" s="20">
        <v>6.517695E7</v>
      </c>
      <c r="E129" s="20">
        <v>1856951.0</v>
      </c>
      <c r="F129" s="20">
        <v>3.661434010095E12</v>
      </c>
      <c r="G129" s="8"/>
      <c r="I129" s="8"/>
      <c r="J129" s="8"/>
      <c r="K129" s="12">
        <f t="shared" si="2"/>
        <v>0</v>
      </c>
    </row>
    <row r="130" ht="9.0" customHeight="1">
      <c r="B130" s="21"/>
      <c r="C130" s="21"/>
      <c r="D130" s="21"/>
      <c r="E130" s="21"/>
      <c r="F130" s="21"/>
      <c r="G130" s="8"/>
      <c r="I130" s="16">
        <v>12.1</v>
      </c>
      <c r="J130" s="16">
        <v>20.5</v>
      </c>
      <c r="K130" s="12">
        <f t="shared" si="2"/>
        <v>10.68914</v>
      </c>
    </row>
    <row r="131" ht="5.25" customHeight="1">
      <c r="B131" s="19" t="s">
        <v>90</v>
      </c>
      <c r="C131" s="27">
        <v>40.0</v>
      </c>
      <c r="D131" s="20">
        <v>6.5207035E7</v>
      </c>
      <c r="E131" s="20">
        <v>3468206.0</v>
      </c>
      <c r="F131" s="20">
        <v>3.66143401004E12</v>
      </c>
      <c r="G131" s="8"/>
      <c r="I131" s="8"/>
      <c r="J131" s="8"/>
      <c r="K131" s="12">
        <f t="shared" si="2"/>
        <v>0</v>
      </c>
    </row>
    <row r="132" ht="9.0" customHeight="1">
      <c r="B132" s="21"/>
      <c r="C132" s="21"/>
      <c r="D132" s="21"/>
      <c r="E132" s="21"/>
      <c r="F132" s="21"/>
      <c r="G132" s="8"/>
      <c r="I132" s="16">
        <v>11.15</v>
      </c>
      <c r="J132" s="16">
        <v>18.9</v>
      </c>
      <c r="K132" s="12">
        <f t="shared" si="2"/>
        <v>9.84991</v>
      </c>
    </row>
    <row r="133" ht="9.0" customHeight="1">
      <c r="B133" s="13" t="s">
        <v>91</v>
      </c>
      <c r="C133" s="14">
        <v>15.0</v>
      </c>
      <c r="D133" s="14">
        <v>6.5206871E7</v>
      </c>
      <c r="E133" s="14">
        <v>2156142.0</v>
      </c>
      <c r="F133" s="14">
        <v>3.661434010026E12</v>
      </c>
      <c r="G133" s="8"/>
      <c r="I133" s="16">
        <v>8.79</v>
      </c>
      <c r="J133" s="16">
        <v>14.9</v>
      </c>
      <c r="K133" s="12">
        <f t="shared" si="2"/>
        <v>7.765086</v>
      </c>
    </row>
    <row r="134" ht="5.25" customHeight="1">
      <c r="B134" s="19" t="s">
        <v>92</v>
      </c>
      <c r="C134" s="27">
        <v>15.0</v>
      </c>
      <c r="D134" s="20">
        <v>6.5207016E7</v>
      </c>
      <c r="E134" s="20">
        <v>1779380.0</v>
      </c>
      <c r="F134" s="20">
        <v>3.661434010118E12</v>
      </c>
      <c r="G134" s="8"/>
      <c r="I134" s="8"/>
      <c r="J134" s="8"/>
      <c r="K134" s="12">
        <f t="shared" si="2"/>
        <v>0</v>
      </c>
    </row>
    <row r="135" ht="9.0" customHeight="1">
      <c r="B135" s="21"/>
      <c r="C135" s="21"/>
      <c r="D135" s="21"/>
      <c r="E135" s="21"/>
      <c r="F135" s="21"/>
      <c r="G135" s="8"/>
      <c r="I135" s="16">
        <v>7.67</v>
      </c>
      <c r="J135" s="16">
        <v>13.0</v>
      </c>
      <c r="K135" s="12">
        <f t="shared" si="2"/>
        <v>6.775678</v>
      </c>
    </row>
    <row r="136" ht="9.0" customHeight="1">
      <c r="B136" s="62" t="s">
        <v>93</v>
      </c>
      <c r="C136" s="35"/>
      <c r="D136" s="35"/>
      <c r="E136" s="35"/>
      <c r="F136" s="35"/>
      <c r="G136" s="8"/>
      <c r="I136" s="8"/>
      <c r="J136" s="8"/>
      <c r="K136" s="12">
        <f t="shared" si="2"/>
        <v>0</v>
      </c>
    </row>
    <row r="137" ht="5.25" customHeight="1">
      <c r="B137" s="19" t="s">
        <v>94</v>
      </c>
      <c r="C137" s="27">
        <v>50.0</v>
      </c>
      <c r="D137" s="20">
        <v>6.5207044E7</v>
      </c>
      <c r="E137" s="20">
        <v>3538237.0</v>
      </c>
      <c r="F137" s="20">
        <v>3.661434010057E12</v>
      </c>
      <c r="G137" s="8"/>
      <c r="I137" s="8"/>
      <c r="J137" s="8"/>
      <c r="K137" s="12">
        <f t="shared" si="2"/>
        <v>0</v>
      </c>
    </row>
    <row r="138" ht="9.0" customHeight="1">
      <c r="B138" s="21"/>
      <c r="C138" s="21"/>
      <c r="D138" s="21"/>
      <c r="E138" s="21"/>
      <c r="F138" s="21"/>
      <c r="G138" s="8"/>
      <c r="I138" s="16">
        <v>11.74</v>
      </c>
      <c r="J138" s="16">
        <v>19.9</v>
      </c>
      <c r="K138" s="12">
        <f t="shared" si="2"/>
        <v>10.371116</v>
      </c>
    </row>
    <row r="139" ht="5.25" customHeight="1">
      <c r="B139" s="63" t="s">
        <v>95</v>
      </c>
      <c r="C139" s="27">
        <v>50.0</v>
      </c>
      <c r="D139" s="20">
        <v>6.524355E7</v>
      </c>
      <c r="E139" s="20">
        <v>2220737.0</v>
      </c>
      <c r="F139" s="20">
        <v>3.661434027901E12</v>
      </c>
      <c r="G139" s="8"/>
      <c r="I139" s="8"/>
      <c r="J139" s="8"/>
      <c r="K139" s="12">
        <f t="shared" si="2"/>
        <v>0</v>
      </c>
    </row>
    <row r="140" ht="9.0" customHeight="1">
      <c r="B140" s="21"/>
      <c r="C140" s="21"/>
      <c r="D140" s="21"/>
      <c r="E140" s="21"/>
      <c r="F140" s="21"/>
      <c r="G140" s="8"/>
      <c r="I140" s="16">
        <v>13.28</v>
      </c>
      <c r="J140" s="16">
        <v>22.5</v>
      </c>
      <c r="K140" s="12">
        <f t="shared" si="2"/>
        <v>11.731552</v>
      </c>
    </row>
    <row r="141" ht="5.25" customHeight="1">
      <c r="B141" s="64" t="s">
        <v>96</v>
      </c>
      <c r="C141" s="44"/>
      <c r="D141" s="44"/>
      <c r="E141" s="44"/>
      <c r="F141" s="45"/>
      <c r="G141" s="8"/>
      <c r="I141" s="8"/>
      <c r="J141" s="8"/>
      <c r="K141" s="12">
        <f t="shared" ref="K141:K142" si="3">H141*0.7*1.262</f>
        <v>0</v>
      </c>
    </row>
    <row r="142" ht="9.0" customHeight="1">
      <c r="B142" s="25"/>
      <c r="C142" s="49"/>
      <c r="D142" s="49"/>
      <c r="E142" s="49"/>
      <c r="F142" s="50"/>
      <c r="G142" s="8"/>
      <c r="I142" s="65"/>
      <c r="J142" s="36"/>
      <c r="K142" s="12">
        <f t="shared" si="3"/>
        <v>0</v>
      </c>
    </row>
    <row r="143" ht="9.75" customHeight="1">
      <c r="B143" s="13" t="s">
        <v>97</v>
      </c>
      <c r="C143" s="14">
        <v>30.0</v>
      </c>
      <c r="D143" s="14">
        <v>6.5201943E7</v>
      </c>
      <c r="E143" s="14">
        <v>1998378.0</v>
      </c>
      <c r="F143" s="14">
        <v>3.661434011931E12</v>
      </c>
      <c r="G143" s="8"/>
      <c r="I143" s="16">
        <v>21.54</v>
      </c>
      <c r="J143" s="16">
        <v>36.5</v>
      </c>
      <c r="K143" s="12">
        <f t="shared" ref="K143:K146" si="4">I143*0.7*1.262</f>
        <v>19.028436</v>
      </c>
    </row>
    <row r="144" ht="9.75" customHeight="1">
      <c r="B144" s="13" t="s">
        <v>98</v>
      </c>
      <c r="C144" s="14">
        <v>40.0</v>
      </c>
      <c r="D144" s="14">
        <v>6.5218325E7</v>
      </c>
      <c r="E144" s="14">
        <v>1998354.0</v>
      </c>
      <c r="F144" s="14">
        <v>3.661434011924E12</v>
      </c>
      <c r="G144" s="8"/>
      <c r="I144" s="16">
        <v>15.64</v>
      </c>
      <c r="J144" s="16">
        <v>26.5</v>
      </c>
      <c r="K144" s="12">
        <f t="shared" si="4"/>
        <v>13.816376</v>
      </c>
    </row>
    <row r="145" ht="9.75" customHeight="1">
      <c r="B145" s="13" t="s">
        <v>99</v>
      </c>
      <c r="C145" s="14">
        <v>50.0</v>
      </c>
      <c r="D145" s="14">
        <v>6.5194065E7</v>
      </c>
      <c r="E145" s="14">
        <v>2133778.0</v>
      </c>
      <c r="F145" s="14">
        <v>3.661434011917E12</v>
      </c>
      <c r="G145" s="8"/>
      <c r="I145" s="16">
        <v>18.0</v>
      </c>
      <c r="J145" s="16">
        <v>30.5</v>
      </c>
      <c r="K145" s="12">
        <f t="shared" si="4"/>
        <v>15.9012</v>
      </c>
    </row>
    <row r="146" ht="9.75" customHeight="1">
      <c r="B146" s="13" t="s">
        <v>100</v>
      </c>
      <c r="C146" s="14">
        <v>50.0</v>
      </c>
      <c r="D146" s="14">
        <v>6.5206708E7</v>
      </c>
      <c r="E146" s="14">
        <v>2133785.0</v>
      </c>
      <c r="F146" s="14">
        <v>3.6614340119E12</v>
      </c>
      <c r="G146" s="8"/>
      <c r="I146" s="16">
        <v>13.28</v>
      </c>
      <c r="J146" s="16">
        <v>22.5</v>
      </c>
      <c r="K146" s="12">
        <f t="shared" si="4"/>
        <v>11.731552</v>
      </c>
    </row>
    <row r="147" ht="9.75" customHeight="1">
      <c r="B147" s="66" t="s">
        <v>101</v>
      </c>
      <c r="C147" s="35"/>
      <c r="D147" s="35"/>
      <c r="E147" s="35"/>
      <c r="F147" s="36"/>
      <c r="G147" s="8"/>
      <c r="I147" s="65"/>
      <c r="J147" s="36"/>
      <c r="K147" s="12">
        <f t="shared" ref="K147:K149" si="5">H147*0.7*1.262</f>
        <v>0</v>
      </c>
    </row>
    <row r="148" ht="9.75" customHeight="1">
      <c r="B148" s="17" t="s">
        <v>102</v>
      </c>
      <c r="C148" s="35"/>
      <c r="D148" s="35"/>
      <c r="E148" s="35"/>
      <c r="F148" s="35"/>
      <c r="G148" s="8"/>
      <c r="I148" s="8"/>
      <c r="J148" s="8"/>
      <c r="K148" s="12">
        <f t="shared" si="5"/>
        <v>0</v>
      </c>
    </row>
    <row r="149" ht="5.25" customHeight="1">
      <c r="B149" s="19" t="s">
        <v>103</v>
      </c>
      <c r="C149" s="27">
        <v>75.0</v>
      </c>
      <c r="D149" s="20">
        <v>6.5165504E7</v>
      </c>
      <c r="E149" s="20">
        <v>2439498.0</v>
      </c>
      <c r="F149" s="20">
        <v>3.661434000508E12</v>
      </c>
      <c r="G149" s="8"/>
      <c r="I149" s="8"/>
      <c r="J149" s="8"/>
      <c r="K149" s="12">
        <f t="shared" si="5"/>
        <v>0</v>
      </c>
    </row>
    <row r="150" ht="9.0" customHeight="1">
      <c r="B150" s="21"/>
      <c r="C150" s="21"/>
      <c r="D150" s="21"/>
      <c r="E150" s="21"/>
      <c r="F150" s="21"/>
      <c r="G150" s="8"/>
      <c r="I150" s="16">
        <v>11.15</v>
      </c>
      <c r="J150" s="16">
        <v>18.9</v>
      </c>
      <c r="K150" s="12">
        <f t="shared" ref="K150:K169" si="6">I150*0.7*1.262</f>
        <v>9.84991</v>
      </c>
    </row>
    <row r="151" ht="5.25" customHeight="1">
      <c r="B151" s="19" t="s">
        <v>104</v>
      </c>
      <c r="C151" s="20">
        <v>100.0</v>
      </c>
      <c r="D151" s="20">
        <v>6.5173206E7</v>
      </c>
      <c r="E151" s="20">
        <v>1974044.0</v>
      </c>
      <c r="F151" s="20">
        <v>3.661434011955E12</v>
      </c>
      <c r="G151" s="8"/>
      <c r="I151" s="8"/>
      <c r="J151" s="8"/>
      <c r="K151" s="12">
        <f t="shared" si="6"/>
        <v>0</v>
      </c>
    </row>
    <row r="152" ht="9.0" customHeight="1">
      <c r="B152" s="21"/>
      <c r="C152" s="21"/>
      <c r="D152" s="21"/>
      <c r="E152" s="21"/>
      <c r="F152" s="21"/>
      <c r="G152" s="8"/>
      <c r="I152" s="16">
        <v>11.15</v>
      </c>
      <c r="J152" s="16">
        <v>18.9</v>
      </c>
      <c r="K152" s="12">
        <f t="shared" si="6"/>
        <v>9.84991</v>
      </c>
    </row>
    <row r="153" ht="5.25" customHeight="1">
      <c r="B153" s="19" t="s">
        <v>105</v>
      </c>
      <c r="C153" s="27">
        <v>40.0</v>
      </c>
      <c r="D153" s="20">
        <v>6.5173203E7</v>
      </c>
      <c r="E153" s="20">
        <v>3059398.0</v>
      </c>
      <c r="F153" s="20">
        <v>3.661434005435E12</v>
      </c>
      <c r="G153" s="8"/>
      <c r="I153" s="8"/>
      <c r="J153" s="8"/>
      <c r="K153" s="12">
        <f t="shared" si="6"/>
        <v>0</v>
      </c>
    </row>
    <row r="154" ht="9.0" customHeight="1">
      <c r="B154" s="21"/>
      <c r="C154" s="21"/>
      <c r="D154" s="21"/>
      <c r="E154" s="21"/>
      <c r="F154" s="21"/>
      <c r="G154" s="8"/>
      <c r="I154" s="16">
        <v>13.57</v>
      </c>
      <c r="J154" s="16">
        <v>23.0</v>
      </c>
      <c r="K154" s="12">
        <f t="shared" si="6"/>
        <v>11.987738</v>
      </c>
    </row>
    <row r="155" ht="5.25" customHeight="1">
      <c r="B155" s="19" t="s">
        <v>106</v>
      </c>
      <c r="C155" s="27">
        <v>50.0</v>
      </c>
      <c r="D155" s="20">
        <v>6.5173179E7</v>
      </c>
      <c r="E155" s="20">
        <v>1821539.0</v>
      </c>
      <c r="F155" s="20">
        <v>3.661434004728E12</v>
      </c>
      <c r="G155" s="8"/>
      <c r="I155" s="8"/>
      <c r="J155" s="8"/>
      <c r="K155" s="12">
        <f t="shared" si="6"/>
        <v>0</v>
      </c>
    </row>
    <row r="156" ht="9.75" customHeight="1">
      <c r="B156" s="21"/>
      <c r="C156" s="21"/>
      <c r="D156" s="21"/>
      <c r="E156" s="21"/>
      <c r="F156" s="21"/>
      <c r="G156" s="8"/>
      <c r="I156" s="16">
        <v>5.84</v>
      </c>
      <c r="J156" s="16">
        <v>9.9</v>
      </c>
      <c r="K156" s="12">
        <f t="shared" si="6"/>
        <v>5.159056</v>
      </c>
    </row>
    <row r="157" ht="5.25" customHeight="1">
      <c r="B157" s="19" t="s">
        <v>107</v>
      </c>
      <c r="C157" s="27">
        <v>22.0</v>
      </c>
      <c r="D157" s="20">
        <v>6.51732E7</v>
      </c>
      <c r="E157" s="20">
        <v>1695499.0</v>
      </c>
      <c r="F157" s="20">
        <v>3.661434005442E12</v>
      </c>
      <c r="G157" s="8"/>
      <c r="I157" s="8"/>
      <c r="J157" s="8"/>
      <c r="K157" s="12">
        <f t="shared" si="6"/>
        <v>0</v>
      </c>
    </row>
    <row r="158" ht="9.0" customHeight="1">
      <c r="B158" s="21"/>
      <c r="C158" s="21"/>
      <c r="D158" s="21"/>
      <c r="E158" s="21"/>
      <c r="F158" s="21"/>
      <c r="G158" s="8"/>
      <c r="I158" s="16">
        <v>11.8</v>
      </c>
      <c r="J158" s="16">
        <v>20.0</v>
      </c>
      <c r="K158" s="12">
        <f t="shared" si="6"/>
        <v>10.42412</v>
      </c>
    </row>
    <row r="159" ht="9.0" customHeight="1">
      <c r="B159" s="17" t="s">
        <v>108</v>
      </c>
      <c r="C159" s="35"/>
      <c r="D159" s="35"/>
      <c r="E159" s="35"/>
      <c r="F159" s="35"/>
      <c r="G159" s="8"/>
      <c r="I159" s="8"/>
      <c r="J159" s="8"/>
      <c r="K159" s="12">
        <f t="shared" si="6"/>
        <v>0</v>
      </c>
    </row>
    <row r="160" ht="5.25" customHeight="1">
      <c r="B160" s="19" t="s">
        <v>109</v>
      </c>
      <c r="C160" s="20">
        <v>200.0</v>
      </c>
      <c r="D160" s="20">
        <v>6.5218582E7</v>
      </c>
      <c r="E160" s="20">
        <v>2051508.0</v>
      </c>
      <c r="F160" s="20">
        <v>3.661434008962E12</v>
      </c>
      <c r="G160" s="8"/>
      <c r="I160" s="8"/>
      <c r="J160" s="8"/>
      <c r="K160" s="12">
        <f t="shared" si="6"/>
        <v>0</v>
      </c>
    </row>
    <row r="161" ht="9.0" customHeight="1">
      <c r="B161" s="21"/>
      <c r="C161" s="21"/>
      <c r="D161" s="21"/>
      <c r="E161" s="21"/>
      <c r="F161" s="21"/>
      <c r="G161" s="8"/>
      <c r="I161" s="16">
        <v>8.2</v>
      </c>
      <c r="J161" s="16">
        <v>13.9</v>
      </c>
      <c r="K161" s="12">
        <f t="shared" si="6"/>
        <v>7.24388</v>
      </c>
    </row>
    <row r="162" ht="5.25" customHeight="1">
      <c r="B162" s="19" t="s">
        <v>110</v>
      </c>
      <c r="C162" s="27">
        <v>40.0</v>
      </c>
      <c r="D162" s="20">
        <v>6.5242135E7</v>
      </c>
      <c r="E162" s="20">
        <v>1821577.0</v>
      </c>
      <c r="F162" s="20">
        <v>3.661434004735E12</v>
      </c>
      <c r="G162" s="8"/>
      <c r="I162" s="8"/>
      <c r="J162" s="8"/>
      <c r="K162" s="12">
        <f t="shared" si="6"/>
        <v>0</v>
      </c>
    </row>
    <row r="163" ht="9.0" customHeight="1">
      <c r="B163" s="21"/>
      <c r="C163" s="21"/>
      <c r="D163" s="21"/>
      <c r="E163" s="21"/>
      <c r="F163" s="21"/>
      <c r="G163" s="8"/>
      <c r="I163" s="16">
        <v>7.02</v>
      </c>
      <c r="J163" s="16">
        <v>11.9</v>
      </c>
      <c r="K163" s="12">
        <f t="shared" si="6"/>
        <v>6.201468</v>
      </c>
    </row>
    <row r="164" ht="5.25" customHeight="1">
      <c r="B164" s="19" t="s">
        <v>111</v>
      </c>
      <c r="C164" s="27">
        <v>40.0</v>
      </c>
      <c r="D164" s="20">
        <v>6.5243555E7</v>
      </c>
      <c r="E164" s="20">
        <v>1879073.0</v>
      </c>
      <c r="F164" s="20">
        <v>3.661434006548E12</v>
      </c>
      <c r="G164" s="8"/>
      <c r="I164" s="8"/>
      <c r="J164" s="8"/>
      <c r="K164" s="12">
        <f t="shared" si="6"/>
        <v>0</v>
      </c>
    </row>
    <row r="165" ht="9.0" customHeight="1">
      <c r="B165" s="21"/>
      <c r="C165" s="21"/>
      <c r="D165" s="21"/>
      <c r="E165" s="21"/>
      <c r="F165" s="21"/>
      <c r="G165" s="8"/>
      <c r="I165" s="16">
        <v>8.2</v>
      </c>
      <c r="J165" s="16">
        <v>13.9</v>
      </c>
      <c r="K165" s="12">
        <f t="shared" si="6"/>
        <v>7.24388</v>
      </c>
    </row>
    <row r="166" ht="5.25" customHeight="1">
      <c r="B166" s="19" t="s">
        <v>112</v>
      </c>
      <c r="C166" s="20">
        <v>100.0</v>
      </c>
      <c r="D166" s="20">
        <v>6.5173201E7</v>
      </c>
      <c r="E166" s="20">
        <v>1821560.0</v>
      </c>
      <c r="F166" s="20">
        <v>3.661434005367E12</v>
      </c>
      <c r="G166" s="8"/>
      <c r="I166" s="8"/>
      <c r="J166" s="8"/>
      <c r="K166" s="12">
        <f t="shared" si="6"/>
        <v>0</v>
      </c>
    </row>
    <row r="167" ht="9.0" customHeight="1">
      <c r="B167" s="21"/>
      <c r="C167" s="21"/>
      <c r="D167" s="21"/>
      <c r="E167" s="21"/>
      <c r="F167" s="21"/>
      <c r="G167" s="8"/>
      <c r="I167" s="16">
        <v>8.79</v>
      </c>
      <c r="J167" s="16">
        <v>14.9</v>
      </c>
      <c r="K167" s="12">
        <f t="shared" si="6"/>
        <v>7.765086</v>
      </c>
    </row>
    <row r="168" ht="5.25" customHeight="1">
      <c r="B168" s="19" t="s">
        <v>113</v>
      </c>
      <c r="C168" s="27">
        <v>15.0</v>
      </c>
      <c r="D168" s="20">
        <v>6.5173204E7</v>
      </c>
      <c r="E168" s="20">
        <v>2103047.0</v>
      </c>
      <c r="F168" s="20">
        <v>3.661434005459E12</v>
      </c>
      <c r="G168" s="8"/>
      <c r="I168" s="8"/>
      <c r="J168" s="8"/>
      <c r="K168" s="12">
        <f t="shared" si="6"/>
        <v>0</v>
      </c>
    </row>
    <row r="169" ht="9.0" customHeight="1">
      <c r="B169" s="21"/>
      <c r="C169" s="21"/>
      <c r="D169" s="21"/>
      <c r="E169" s="21"/>
      <c r="F169" s="21"/>
      <c r="G169" s="8"/>
      <c r="I169" s="16">
        <v>5.84</v>
      </c>
      <c r="J169" s="16">
        <v>9.9</v>
      </c>
      <c r="K169" s="12">
        <f t="shared" si="6"/>
        <v>5.159056</v>
      </c>
    </row>
    <row r="170" ht="5.25" customHeight="1">
      <c r="B170" s="67" t="s">
        <v>114</v>
      </c>
      <c r="C170" s="44"/>
      <c r="D170" s="44"/>
      <c r="E170" s="44"/>
      <c r="F170" s="45"/>
      <c r="G170" s="8"/>
      <c r="I170" s="8"/>
      <c r="J170" s="8"/>
      <c r="K170" s="12">
        <f t="shared" ref="K170:K173" si="7">H170*0.7*1.262</f>
        <v>0</v>
      </c>
    </row>
    <row r="171" ht="9.0" customHeight="1">
      <c r="B171" s="25"/>
      <c r="C171" s="49"/>
      <c r="D171" s="49"/>
      <c r="E171" s="49"/>
      <c r="F171" s="50"/>
      <c r="G171" s="8"/>
      <c r="I171" s="68"/>
      <c r="J171" s="36"/>
      <c r="K171" s="12">
        <f t="shared" si="7"/>
        <v>0</v>
      </c>
    </row>
    <row r="172" ht="9.75" customHeight="1">
      <c r="B172" s="17" t="s">
        <v>115</v>
      </c>
      <c r="C172" s="35"/>
      <c r="D172" s="35"/>
      <c r="E172" s="35"/>
      <c r="F172" s="35"/>
      <c r="G172" s="8"/>
      <c r="I172" s="8"/>
      <c r="J172" s="8"/>
      <c r="K172" s="12">
        <f t="shared" si="7"/>
        <v>0</v>
      </c>
    </row>
    <row r="173" ht="5.25" customHeight="1">
      <c r="B173" s="19" t="s">
        <v>116</v>
      </c>
      <c r="C173" s="20">
        <v>500.0</v>
      </c>
      <c r="D173" s="20">
        <v>6.5223113E7</v>
      </c>
      <c r="E173" s="20">
        <v>1693082.0</v>
      </c>
      <c r="F173" s="20">
        <v>3.661434005923E12</v>
      </c>
      <c r="G173" s="8"/>
      <c r="I173" s="8"/>
      <c r="J173" s="8"/>
      <c r="K173" s="12">
        <f t="shared" si="7"/>
        <v>0</v>
      </c>
    </row>
    <row r="174" ht="7.5" customHeight="1">
      <c r="B174" s="21"/>
      <c r="C174" s="21"/>
      <c r="D174" s="21"/>
      <c r="E174" s="21"/>
      <c r="F174" s="21"/>
      <c r="G174" s="8"/>
      <c r="I174" s="24">
        <v>10.33</v>
      </c>
      <c r="J174" s="24">
        <v>17.5</v>
      </c>
      <c r="K174" s="12">
        <f t="shared" ref="K174:K195" si="8">I174*0.65*1.262</f>
        <v>8.473699</v>
      </c>
    </row>
    <row r="175" ht="5.25" customHeight="1">
      <c r="B175" s="19" t="s">
        <v>117</v>
      </c>
      <c r="C175" s="20">
        <v>1000.0</v>
      </c>
      <c r="D175" s="20">
        <v>6.5223107E7</v>
      </c>
      <c r="E175" s="20">
        <v>1862204.0</v>
      </c>
      <c r="F175" s="20">
        <v>3.66143400337E12</v>
      </c>
      <c r="G175" s="8"/>
      <c r="I175" s="21"/>
      <c r="J175" s="21"/>
      <c r="K175" s="12">
        <f t="shared" si="8"/>
        <v>0</v>
      </c>
    </row>
    <row r="176" ht="9.0" customHeight="1">
      <c r="B176" s="21"/>
      <c r="C176" s="21"/>
      <c r="D176" s="21"/>
      <c r="E176" s="21"/>
      <c r="F176" s="21"/>
      <c r="G176" s="8"/>
      <c r="I176" s="16">
        <v>12.69</v>
      </c>
      <c r="J176" s="16">
        <v>21.5</v>
      </c>
      <c r="K176" s="12">
        <f t="shared" si="8"/>
        <v>10.409607</v>
      </c>
    </row>
    <row r="177" ht="5.25" customHeight="1">
      <c r="B177" s="19" t="s">
        <v>118</v>
      </c>
      <c r="C177" s="20">
        <v>500.0</v>
      </c>
      <c r="D177" s="20">
        <v>6.5224531E7</v>
      </c>
      <c r="E177" s="20">
        <v>1553621.0</v>
      </c>
      <c r="F177" s="20">
        <v>3.661434005916E12</v>
      </c>
      <c r="G177" s="8"/>
      <c r="I177" s="8"/>
      <c r="J177" s="8"/>
      <c r="K177" s="12">
        <f t="shared" si="8"/>
        <v>0</v>
      </c>
    </row>
    <row r="178" ht="9.0" customHeight="1">
      <c r="B178" s="21"/>
      <c r="C178" s="21"/>
      <c r="D178" s="21"/>
      <c r="E178" s="21"/>
      <c r="F178" s="21"/>
      <c r="G178" s="8"/>
      <c r="I178" s="16">
        <v>10.33</v>
      </c>
      <c r="J178" s="16">
        <v>17.5</v>
      </c>
      <c r="K178" s="12">
        <f t="shared" si="8"/>
        <v>8.473699</v>
      </c>
    </row>
    <row r="179" ht="8.25" customHeight="1">
      <c r="B179" s="17" t="s">
        <v>119</v>
      </c>
      <c r="C179" s="35"/>
      <c r="D179" s="35"/>
      <c r="E179" s="35"/>
      <c r="F179" s="35"/>
      <c r="G179" s="8"/>
      <c r="I179" s="8"/>
      <c r="J179" s="8"/>
      <c r="K179" s="12">
        <f t="shared" si="8"/>
        <v>0</v>
      </c>
    </row>
    <row r="180" ht="5.25" customHeight="1">
      <c r="B180" s="19" t="s">
        <v>120</v>
      </c>
      <c r="C180" s="20">
        <v>150.0</v>
      </c>
      <c r="D180" s="20">
        <v>6.5223114E7</v>
      </c>
      <c r="E180" s="20">
        <v>2051515.0</v>
      </c>
      <c r="F180" s="20">
        <v>3.661434008955E12</v>
      </c>
      <c r="G180" s="8"/>
      <c r="I180" s="8"/>
      <c r="J180" s="8"/>
      <c r="K180" s="12">
        <f t="shared" si="8"/>
        <v>0</v>
      </c>
    </row>
    <row r="181" ht="9.0" customHeight="1">
      <c r="B181" s="21"/>
      <c r="C181" s="21"/>
      <c r="D181" s="21"/>
      <c r="E181" s="21"/>
      <c r="F181" s="21"/>
      <c r="G181" s="8"/>
      <c r="I181" s="16">
        <v>12.92</v>
      </c>
      <c r="J181" s="16">
        <v>21.9</v>
      </c>
      <c r="K181" s="12">
        <f t="shared" si="8"/>
        <v>10.598276</v>
      </c>
    </row>
    <row r="182" ht="5.25" customHeight="1">
      <c r="B182" s="19" t="s">
        <v>121</v>
      </c>
      <c r="C182" s="20">
        <v>200.0</v>
      </c>
      <c r="D182" s="20">
        <v>6.5223094E7</v>
      </c>
      <c r="E182" s="20">
        <v>1991201.0</v>
      </c>
      <c r="F182" s="20">
        <v>3.66143400791E12</v>
      </c>
      <c r="G182" s="8"/>
      <c r="I182" s="8"/>
      <c r="J182" s="8"/>
      <c r="K182" s="12">
        <f t="shared" si="8"/>
        <v>0</v>
      </c>
    </row>
    <row r="183" ht="9.0" customHeight="1">
      <c r="B183" s="21"/>
      <c r="C183" s="21"/>
      <c r="D183" s="21"/>
      <c r="E183" s="21"/>
      <c r="F183" s="21"/>
      <c r="G183" s="8"/>
      <c r="I183" s="16">
        <v>11.74</v>
      </c>
      <c r="J183" s="16">
        <v>19.9</v>
      </c>
      <c r="K183" s="12">
        <f t="shared" si="8"/>
        <v>9.630322</v>
      </c>
    </row>
    <row r="184" ht="5.25" customHeight="1">
      <c r="B184" s="19" t="s">
        <v>122</v>
      </c>
      <c r="C184" s="20">
        <v>400.0</v>
      </c>
      <c r="D184" s="20">
        <v>6.5223104E7</v>
      </c>
      <c r="E184" s="20">
        <v>1522818.0</v>
      </c>
      <c r="F184" s="20">
        <v>3.661434004858E12</v>
      </c>
      <c r="G184" s="8"/>
      <c r="I184" s="8"/>
      <c r="J184" s="8"/>
      <c r="K184" s="12">
        <f t="shared" si="8"/>
        <v>0</v>
      </c>
    </row>
    <row r="185" ht="9.0" customHeight="1">
      <c r="B185" s="21"/>
      <c r="C185" s="21"/>
      <c r="D185" s="21"/>
      <c r="E185" s="21"/>
      <c r="F185" s="21"/>
      <c r="G185" s="8"/>
      <c r="I185" s="16">
        <v>15.4</v>
      </c>
      <c r="J185" s="16">
        <v>26.1</v>
      </c>
      <c r="K185" s="12">
        <f t="shared" si="8"/>
        <v>12.63262</v>
      </c>
    </row>
    <row r="186" ht="5.25" customHeight="1">
      <c r="B186" s="19" t="s">
        <v>123</v>
      </c>
      <c r="C186" s="20">
        <v>500.0</v>
      </c>
      <c r="D186" s="20">
        <v>6.5223092E7</v>
      </c>
      <c r="E186" s="20">
        <v>1896667.0</v>
      </c>
      <c r="F186" s="20">
        <v>3.661434006968E12</v>
      </c>
      <c r="G186" s="8"/>
      <c r="I186" s="8"/>
      <c r="J186" s="8"/>
      <c r="K186" s="12">
        <f t="shared" si="8"/>
        <v>0</v>
      </c>
    </row>
    <row r="187" ht="9.0" customHeight="1">
      <c r="B187" s="21"/>
      <c r="C187" s="21"/>
      <c r="D187" s="21"/>
      <c r="E187" s="21"/>
      <c r="F187" s="21"/>
      <c r="G187" s="8"/>
      <c r="I187" s="16">
        <v>15.64</v>
      </c>
      <c r="J187" s="16">
        <v>26.5</v>
      </c>
      <c r="K187" s="12">
        <f t="shared" si="8"/>
        <v>12.829492</v>
      </c>
    </row>
    <row r="188" ht="5.25" customHeight="1">
      <c r="B188" s="19" t="s">
        <v>124</v>
      </c>
      <c r="C188" s="20">
        <v>200.0</v>
      </c>
      <c r="D188" s="20">
        <v>6.5223096E7</v>
      </c>
      <c r="E188" s="20">
        <v>1589002.0</v>
      </c>
      <c r="F188" s="20">
        <v>3.661434004834E12</v>
      </c>
      <c r="G188" s="8"/>
      <c r="I188" s="8"/>
      <c r="J188" s="8"/>
      <c r="K188" s="12">
        <f t="shared" si="8"/>
        <v>0</v>
      </c>
    </row>
    <row r="189" ht="9.0" customHeight="1">
      <c r="B189" s="21"/>
      <c r="C189" s="21"/>
      <c r="D189" s="21"/>
      <c r="E189" s="21"/>
      <c r="F189" s="21"/>
      <c r="G189" s="8"/>
      <c r="I189" s="16">
        <v>15.64</v>
      </c>
      <c r="J189" s="16">
        <v>26.5</v>
      </c>
      <c r="K189" s="12">
        <f t="shared" si="8"/>
        <v>12.829492</v>
      </c>
    </row>
    <row r="190" ht="5.25" customHeight="1">
      <c r="B190" s="19" t="s">
        <v>125</v>
      </c>
      <c r="C190" s="27">
        <v>40.0</v>
      </c>
      <c r="D190" s="20">
        <v>6.5223106E7</v>
      </c>
      <c r="E190" s="20">
        <v>1671547.0</v>
      </c>
      <c r="F190" s="20">
        <v>3.661434004865E12</v>
      </c>
      <c r="G190" s="8"/>
      <c r="I190" s="8"/>
      <c r="J190" s="8"/>
      <c r="K190" s="12">
        <f t="shared" si="8"/>
        <v>0</v>
      </c>
    </row>
    <row r="191" ht="9.0" customHeight="1">
      <c r="B191" s="21"/>
      <c r="C191" s="21"/>
      <c r="D191" s="21"/>
      <c r="E191" s="21"/>
      <c r="F191" s="21"/>
      <c r="G191" s="8"/>
      <c r="I191" s="16">
        <v>10.33</v>
      </c>
      <c r="J191" s="16">
        <v>17.5</v>
      </c>
      <c r="K191" s="12">
        <f t="shared" si="8"/>
        <v>8.473699</v>
      </c>
    </row>
    <row r="192" ht="5.25" customHeight="1">
      <c r="B192" s="19" t="s">
        <v>126</v>
      </c>
      <c r="C192" s="27">
        <v>15.0</v>
      </c>
      <c r="D192" s="20">
        <v>6.5223115E7</v>
      </c>
      <c r="E192" s="20">
        <v>1988331.0</v>
      </c>
      <c r="F192" s="20">
        <v>3.661434007903E12</v>
      </c>
      <c r="G192" s="8"/>
      <c r="I192" s="8"/>
      <c r="J192" s="8"/>
      <c r="K192" s="12">
        <f t="shared" si="8"/>
        <v>0</v>
      </c>
    </row>
    <row r="193" ht="9.0" customHeight="1">
      <c r="B193" s="21"/>
      <c r="C193" s="21"/>
      <c r="D193" s="21"/>
      <c r="E193" s="21"/>
      <c r="F193" s="21"/>
      <c r="G193" s="8"/>
      <c r="I193" s="16">
        <v>10.92</v>
      </c>
      <c r="J193" s="16">
        <v>18.5</v>
      </c>
      <c r="K193" s="12">
        <f t="shared" si="8"/>
        <v>8.957676</v>
      </c>
    </row>
    <row r="194" ht="5.25" customHeight="1">
      <c r="B194" s="19" t="s">
        <v>127</v>
      </c>
      <c r="C194" s="27">
        <v>4.0</v>
      </c>
      <c r="D194" s="20">
        <v>6.5196627E7</v>
      </c>
      <c r="E194" s="20">
        <v>1629616.0</v>
      </c>
      <c r="F194" s="20">
        <v>3.661434004452E12</v>
      </c>
      <c r="G194" s="8"/>
      <c r="I194" s="8"/>
      <c r="J194" s="8"/>
      <c r="K194" s="12">
        <f t="shared" si="8"/>
        <v>0</v>
      </c>
    </row>
    <row r="195" ht="9.0" customHeight="1">
      <c r="B195" s="21"/>
      <c r="C195" s="21"/>
      <c r="D195" s="21"/>
      <c r="E195" s="21"/>
      <c r="F195" s="21"/>
      <c r="G195" s="8"/>
      <c r="I195" s="16">
        <v>4.66</v>
      </c>
      <c r="J195" s="16">
        <v>7.9</v>
      </c>
      <c r="K195" s="12">
        <f t="shared" si="8"/>
        <v>3.822598</v>
      </c>
    </row>
    <row r="196" ht="5.25" customHeight="1">
      <c r="B196" s="69" t="s">
        <v>128</v>
      </c>
      <c r="C196" s="44"/>
      <c r="D196" s="44"/>
      <c r="E196" s="44"/>
      <c r="F196" s="45"/>
      <c r="G196" s="8"/>
      <c r="I196" s="8"/>
      <c r="J196" s="8"/>
      <c r="K196" s="12">
        <f t="shared" ref="K196:K198" si="9">H196*0.7*1.262</f>
        <v>0</v>
      </c>
    </row>
    <row r="197" ht="9.0" customHeight="1">
      <c r="B197" s="25"/>
      <c r="C197" s="49"/>
      <c r="D197" s="49"/>
      <c r="E197" s="49"/>
      <c r="F197" s="50"/>
      <c r="G197" s="8"/>
      <c r="I197" s="70"/>
      <c r="J197" s="36"/>
      <c r="K197" s="12">
        <f t="shared" si="9"/>
        <v>0</v>
      </c>
    </row>
    <row r="198" ht="5.25" customHeight="1">
      <c r="B198" s="19" t="s">
        <v>129</v>
      </c>
      <c r="C198" s="27">
        <v>75.0</v>
      </c>
      <c r="D198" s="20">
        <v>6.5165983E7</v>
      </c>
      <c r="E198" s="20">
        <v>3578974.0</v>
      </c>
      <c r="F198" s="20">
        <v>3.661434000836E12</v>
      </c>
      <c r="G198" s="8"/>
      <c r="I198" s="8"/>
      <c r="J198" s="8"/>
      <c r="K198" s="12">
        <f t="shared" si="9"/>
        <v>0</v>
      </c>
    </row>
    <row r="199" ht="9.0" customHeight="1">
      <c r="B199" s="21"/>
      <c r="C199" s="21"/>
      <c r="D199" s="21"/>
      <c r="E199" s="21"/>
      <c r="F199" s="21"/>
      <c r="G199" s="8"/>
      <c r="I199" s="16">
        <v>11.74</v>
      </c>
      <c r="J199" s="16">
        <v>19.9</v>
      </c>
      <c r="K199" s="12">
        <f t="shared" ref="K199:K205" si="10">I199*0.7*1.262</f>
        <v>10.371116</v>
      </c>
    </row>
    <row r="200" ht="5.25" customHeight="1">
      <c r="B200" s="19" t="s">
        <v>130</v>
      </c>
      <c r="C200" s="20">
        <v>100.0</v>
      </c>
      <c r="D200" s="20">
        <v>6.5194405E7</v>
      </c>
      <c r="E200" s="20">
        <v>3232388.0</v>
      </c>
      <c r="F200" s="20">
        <v>3.661434009686E12</v>
      </c>
      <c r="G200" s="8"/>
      <c r="I200" s="8"/>
      <c r="J200" s="8"/>
      <c r="K200" s="12">
        <f t="shared" si="10"/>
        <v>0</v>
      </c>
    </row>
    <row r="201" ht="9.0" customHeight="1">
      <c r="B201" s="21"/>
      <c r="C201" s="21"/>
      <c r="D201" s="21"/>
      <c r="E201" s="21"/>
      <c r="F201" s="21"/>
      <c r="G201" s="8"/>
      <c r="I201" s="16">
        <v>10.56</v>
      </c>
      <c r="J201" s="16">
        <v>17.9</v>
      </c>
      <c r="K201" s="12">
        <f t="shared" si="10"/>
        <v>9.328704</v>
      </c>
    </row>
    <row r="202" ht="5.25" customHeight="1">
      <c r="B202" s="19" t="s">
        <v>131</v>
      </c>
      <c r="C202" s="20">
        <v>100.0</v>
      </c>
      <c r="D202" s="20">
        <v>6.5194407E7</v>
      </c>
      <c r="E202" s="20">
        <v>3460156.0</v>
      </c>
      <c r="F202" s="20">
        <v>3.661434009679E12</v>
      </c>
      <c r="G202" s="8"/>
      <c r="I202" s="8"/>
      <c r="J202" s="8"/>
      <c r="K202" s="12">
        <f t="shared" si="10"/>
        <v>0</v>
      </c>
    </row>
    <row r="203" ht="9.0" customHeight="1">
      <c r="B203" s="21"/>
      <c r="C203" s="21"/>
      <c r="D203" s="21"/>
      <c r="E203" s="21"/>
      <c r="F203" s="21"/>
      <c r="G203" s="8"/>
      <c r="I203" s="16">
        <v>10.56</v>
      </c>
      <c r="J203" s="16">
        <v>17.9</v>
      </c>
      <c r="K203" s="12">
        <f t="shared" si="10"/>
        <v>9.328704</v>
      </c>
    </row>
    <row r="204" ht="5.25" customHeight="1">
      <c r="B204" s="19" t="s">
        <v>132</v>
      </c>
      <c r="C204" s="27">
        <v>15.0</v>
      </c>
      <c r="D204" s="20">
        <v>6.5194423E7</v>
      </c>
      <c r="E204" s="20">
        <v>2098831.0</v>
      </c>
      <c r="F204" s="20">
        <v>3.661434009693E12</v>
      </c>
      <c r="G204" s="8"/>
      <c r="I204" s="8"/>
      <c r="J204" s="8"/>
      <c r="K204" s="12">
        <f t="shared" si="10"/>
        <v>0</v>
      </c>
    </row>
    <row r="205" ht="8.25" customHeight="1">
      <c r="B205" s="21"/>
      <c r="C205" s="21"/>
      <c r="D205" s="21"/>
      <c r="E205" s="21"/>
      <c r="F205" s="21"/>
      <c r="G205" s="8"/>
      <c r="I205" s="24">
        <v>5.25</v>
      </c>
      <c r="J205" s="24">
        <v>8.9</v>
      </c>
      <c r="K205" s="12">
        <f t="shared" si="10"/>
        <v>4.63785</v>
      </c>
    </row>
    <row r="206" ht="5.25" customHeight="1">
      <c r="B206" s="71" t="s">
        <v>133</v>
      </c>
      <c r="C206" s="44"/>
      <c r="D206" s="44"/>
      <c r="E206" s="44"/>
      <c r="F206" s="45"/>
      <c r="G206" s="8"/>
      <c r="I206" s="21"/>
      <c r="J206" s="21"/>
      <c r="K206" s="12">
        <f>I206*7*1.262</f>
        <v>0</v>
      </c>
    </row>
    <row r="207" ht="8.25" customHeight="1">
      <c r="B207" s="25"/>
      <c r="C207" s="49"/>
      <c r="D207" s="49"/>
      <c r="E207" s="49"/>
      <c r="F207" s="50"/>
      <c r="G207" s="8"/>
      <c r="I207" s="72"/>
      <c r="J207" s="45"/>
      <c r="K207" s="12">
        <f t="shared" ref="K207:K208" si="11">H207*0.7*1.262</f>
        <v>0</v>
      </c>
    </row>
    <row r="208" ht="5.25" customHeight="1">
      <c r="B208" s="19" t="s">
        <v>134</v>
      </c>
      <c r="C208" s="27">
        <v>40.0</v>
      </c>
      <c r="D208" s="20">
        <v>6.5149813E7</v>
      </c>
      <c r="E208" s="20">
        <v>1541260.0</v>
      </c>
      <c r="F208" s="20">
        <v>3.661434000072E12</v>
      </c>
      <c r="G208" s="8"/>
      <c r="I208" s="48"/>
      <c r="J208" s="50"/>
      <c r="K208" s="12">
        <f t="shared" si="11"/>
        <v>0</v>
      </c>
    </row>
    <row r="209" ht="8.25" customHeight="1">
      <c r="B209" s="21"/>
      <c r="C209" s="21"/>
      <c r="D209" s="21"/>
      <c r="E209" s="21"/>
      <c r="F209" s="21"/>
      <c r="G209" s="8"/>
      <c r="I209" s="24">
        <v>12.33</v>
      </c>
      <c r="J209" s="24">
        <v>20.9</v>
      </c>
      <c r="K209" s="12">
        <f t="shared" ref="K209:K222" si="12">I209*0.65*1.262</f>
        <v>10.114299</v>
      </c>
    </row>
    <row r="210" ht="5.25" customHeight="1">
      <c r="B210" s="19" t="s">
        <v>135</v>
      </c>
      <c r="C210" s="20">
        <v>150.0</v>
      </c>
      <c r="D210" s="20">
        <v>6.5149815E7</v>
      </c>
      <c r="E210" s="20">
        <v>1541277.0</v>
      </c>
      <c r="F210" s="20">
        <v>3.661434000089E12</v>
      </c>
      <c r="G210" s="8"/>
      <c r="I210" s="21"/>
      <c r="J210" s="21"/>
      <c r="K210" s="12">
        <f t="shared" si="12"/>
        <v>0</v>
      </c>
    </row>
    <row r="211" ht="8.25" customHeight="1">
      <c r="B211" s="21"/>
      <c r="C211" s="21"/>
      <c r="D211" s="21"/>
      <c r="E211" s="21"/>
      <c r="F211" s="21"/>
      <c r="G211" s="8"/>
      <c r="I211" s="24">
        <v>11.15</v>
      </c>
      <c r="J211" s="24">
        <v>18.9</v>
      </c>
      <c r="K211" s="12">
        <f t="shared" si="12"/>
        <v>9.146345</v>
      </c>
    </row>
    <row r="212" ht="5.25" customHeight="1">
      <c r="B212" s="19" t="s">
        <v>136</v>
      </c>
      <c r="C212" s="20">
        <v>100.0</v>
      </c>
      <c r="D212" s="20">
        <v>6.5149812E7</v>
      </c>
      <c r="E212" s="20">
        <v>1658494.0</v>
      </c>
      <c r="F212" s="20">
        <v>3.661434002069E12</v>
      </c>
      <c r="G212" s="8"/>
      <c r="I212" s="21"/>
      <c r="J212" s="21"/>
      <c r="K212" s="12">
        <f t="shared" si="12"/>
        <v>0</v>
      </c>
    </row>
    <row r="213" ht="8.25" customHeight="1">
      <c r="B213" s="21"/>
      <c r="C213" s="21"/>
      <c r="D213" s="21"/>
      <c r="E213" s="21"/>
      <c r="F213" s="21"/>
      <c r="G213" s="8"/>
      <c r="I213" s="24">
        <v>10.56</v>
      </c>
      <c r="J213" s="24">
        <v>17.9</v>
      </c>
      <c r="K213" s="12">
        <f t="shared" si="12"/>
        <v>8.662368</v>
      </c>
    </row>
    <row r="214" ht="5.25" customHeight="1">
      <c r="B214" s="19" t="s">
        <v>137</v>
      </c>
      <c r="C214" s="20">
        <v>200.0</v>
      </c>
      <c r="D214" s="20">
        <v>6.5173064E7</v>
      </c>
      <c r="E214" s="20">
        <v>1911926.0</v>
      </c>
      <c r="F214" s="20">
        <v>3.661434007408E12</v>
      </c>
      <c r="G214" s="8"/>
      <c r="I214" s="21"/>
      <c r="J214" s="21"/>
      <c r="K214" s="12">
        <f t="shared" si="12"/>
        <v>0</v>
      </c>
    </row>
    <row r="215" ht="8.25" customHeight="1">
      <c r="B215" s="21"/>
      <c r="C215" s="21"/>
      <c r="D215" s="21"/>
      <c r="E215" s="21"/>
      <c r="F215" s="21"/>
      <c r="G215" s="8"/>
      <c r="I215" s="24">
        <v>8.79</v>
      </c>
      <c r="J215" s="24">
        <v>14.9</v>
      </c>
      <c r="K215" s="12">
        <f t="shared" si="12"/>
        <v>7.210437</v>
      </c>
    </row>
    <row r="216" ht="5.25" customHeight="1">
      <c r="B216" s="19" t="s">
        <v>138</v>
      </c>
      <c r="C216" s="20">
        <v>500.0</v>
      </c>
      <c r="D216" s="20">
        <v>6.5173065E7</v>
      </c>
      <c r="E216" s="20">
        <v>1949134.0</v>
      </c>
      <c r="F216" s="20">
        <v>3.661434011962E12</v>
      </c>
      <c r="G216" s="8"/>
      <c r="I216" s="21"/>
      <c r="J216" s="21"/>
      <c r="K216" s="12">
        <f t="shared" si="12"/>
        <v>0</v>
      </c>
    </row>
    <row r="217" ht="9.0" customHeight="1">
      <c r="B217" s="21"/>
      <c r="C217" s="21"/>
      <c r="D217" s="21"/>
      <c r="E217" s="21"/>
      <c r="F217" s="21"/>
      <c r="G217" s="8"/>
      <c r="I217" s="16">
        <v>12.92</v>
      </c>
      <c r="J217" s="16">
        <v>21.9</v>
      </c>
      <c r="K217" s="12">
        <f t="shared" si="12"/>
        <v>10.598276</v>
      </c>
    </row>
    <row r="218" ht="5.25" customHeight="1">
      <c r="B218" s="19" t="s">
        <v>139</v>
      </c>
      <c r="C218" s="20">
        <v>200.0</v>
      </c>
      <c r="D218" s="20">
        <v>6.518647E7</v>
      </c>
      <c r="E218" s="20">
        <v>1911933.0</v>
      </c>
      <c r="F218" s="20">
        <v>3.661434009303E12</v>
      </c>
      <c r="G218" s="8"/>
      <c r="I218" s="8"/>
      <c r="J218" s="8"/>
      <c r="K218" s="12">
        <f t="shared" si="12"/>
        <v>0</v>
      </c>
    </row>
    <row r="219" ht="9.0" customHeight="1">
      <c r="B219" s="21"/>
      <c r="C219" s="21"/>
      <c r="D219" s="21"/>
      <c r="E219" s="21"/>
      <c r="F219" s="21"/>
      <c r="G219" s="8"/>
      <c r="I219" s="16">
        <v>9.97</v>
      </c>
      <c r="J219" s="16">
        <v>16.9</v>
      </c>
      <c r="K219" s="12">
        <f t="shared" si="12"/>
        <v>8.178391</v>
      </c>
    </row>
    <row r="220" ht="5.25" customHeight="1">
      <c r="B220" s="19" t="s">
        <v>140</v>
      </c>
      <c r="C220" s="20">
        <v>150.0</v>
      </c>
      <c r="D220" s="20">
        <v>6.5186469E7</v>
      </c>
      <c r="E220" s="20">
        <v>1911940.0</v>
      </c>
      <c r="F220" s="20">
        <v>3.66143400931E12</v>
      </c>
      <c r="G220" s="8"/>
      <c r="I220" s="8"/>
      <c r="J220" s="8"/>
      <c r="K220" s="12">
        <f t="shared" si="12"/>
        <v>0</v>
      </c>
    </row>
    <row r="221" ht="9.75" customHeight="1">
      <c r="B221" s="21"/>
      <c r="C221" s="21"/>
      <c r="D221" s="21"/>
      <c r="E221" s="21"/>
      <c r="F221" s="21"/>
      <c r="G221" s="8"/>
      <c r="I221" s="16">
        <v>10.56</v>
      </c>
      <c r="J221" s="16">
        <v>17.9</v>
      </c>
      <c r="K221" s="12">
        <f t="shared" si="12"/>
        <v>8.662368</v>
      </c>
    </row>
    <row r="222" ht="13.5" customHeight="1">
      <c r="A222" s="58"/>
      <c r="B222" s="3"/>
      <c r="C222" s="4" t="s">
        <v>141</v>
      </c>
      <c r="D222" s="4" t="s">
        <v>142</v>
      </c>
      <c r="E222" s="4" t="s">
        <v>143</v>
      </c>
      <c r="F222" s="4" t="s">
        <v>144</v>
      </c>
      <c r="G222" s="2"/>
      <c r="I222" s="4" t="s">
        <v>145</v>
      </c>
      <c r="J222" s="4" t="s">
        <v>146</v>
      </c>
      <c r="K222" s="12" t="str">
        <f t="shared" si="12"/>
        <v>#VALUE!</v>
      </c>
    </row>
    <row r="223" ht="9.75" customHeight="1">
      <c r="B223" s="73" t="s">
        <v>147</v>
      </c>
      <c r="C223" s="35"/>
      <c r="D223" s="35"/>
      <c r="E223" s="35"/>
      <c r="F223" s="36"/>
      <c r="G223" s="8"/>
      <c r="I223" s="74"/>
      <c r="J223" s="36"/>
      <c r="K223" s="12">
        <f>H223*0.7*1.262</f>
        <v>0</v>
      </c>
    </row>
    <row r="224" ht="9.75" customHeight="1">
      <c r="B224" s="13" t="s">
        <v>148</v>
      </c>
      <c r="C224" s="14">
        <v>15.0</v>
      </c>
      <c r="D224" s="14">
        <v>6.5165717E7</v>
      </c>
      <c r="E224" s="14">
        <v>2075269.0</v>
      </c>
      <c r="F224" s="14">
        <v>3.661434009211E12</v>
      </c>
      <c r="G224" s="8"/>
      <c r="I224" s="16">
        <v>18.82</v>
      </c>
      <c r="J224" s="16">
        <v>31.9</v>
      </c>
      <c r="K224" s="12">
        <f t="shared" ref="K224:K227" si="13">I224*0.7*1.262</f>
        <v>16.625588</v>
      </c>
    </row>
    <row r="225" ht="9.75" customHeight="1">
      <c r="B225" s="13" t="s">
        <v>149</v>
      </c>
      <c r="C225" s="14">
        <v>30.0</v>
      </c>
      <c r="D225" s="14">
        <v>6.5165716E7</v>
      </c>
      <c r="E225" s="14">
        <v>2075191.0</v>
      </c>
      <c r="F225" s="14">
        <v>3.661434009273E12</v>
      </c>
      <c r="G225" s="8"/>
      <c r="I225" s="16">
        <v>25.9</v>
      </c>
      <c r="J225" s="16">
        <v>43.9</v>
      </c>
      <c r="K225" s="12">
        <f t="shared" si="13"/>
        <v>22.88006</v>
      </c>
    </row>
    <row r="226" ht="10.5" customHeight="1">
      <c r="B226" s="13" t="s">
        <v>150</v>
      </c>
      <c r="C226" s="14">
        <v>40.0</v>
      </c>
      <c r="D226" s="14">
        <v>6.5165501E7</v>
      </c>
      <c r="E226" s="14">
        <v>2075238.0</v>
      </c>
      <c r="F226" s="14">
        <v>3.661434009242E12</v>
      </c>
      <c r="G226" s="8"/>
      <c r="I226" s="16">
        <v>25.08</v>
      </c>
      <c r="J226" s="16">
        <v>42.5</v>
      </c>
      <c r="K226" s="12">
        <f t="shared" si="13"/>
        <v>22.155672</v>
      </c>
    </row>
    <row r="227" ht="9.75" customHeight="1">
      <c r="B227" s="13" t="s">
        <v>151</v>
      </c>
      <c r="C227" s="14">
        <v>40.0</v>
      </c>
      <c r="D227" s="14">
        <v>6.5165503E7</v>
      </c>
      <c r="E227" s="14">
        <v>2075252.0</v>
      </c>
      <c r="F227" s="14">
        <v>3.661434009228E12</v>
      </c>
      <c r="G227" s="8"/>
      <c r="I227" s="16">
        <v>25.08</v>
      </c>
      <c r="J227" s="16">
        <v>42.5</v>
      </c>
      <c r="K227" s="12">
        <f t="shared" si="13"/>
        <v>22.155672</v>
      </c>
    </row>
    <row r="228" ht="9.75" customHeight="1">
      <c r="B228" s="73" t="s">
        <v>152</v>
      </c>
      <c r="C228" s="35"/>
      <c r="D228" s="35"/>
      <c r="E228" s="35"/>
      <c r="F228" s="36"/>
      <c r="G228" s="8"/>
      <c r="I228" s="74"/>
      <c r="J228" s="36"/>
      <c r="K228" s="12">
        <f>H228*0.7*1.262</f>
        <v>0</v>
      </c>
    </row>
    <row r="229" ht="9.75" customHeight="1">
      <c r="B229" s="13" t="s">
        <v>153</v>
      </c>
      <c r="C229" s="14">
        <v>15.0</v>
      </c>
      <c r="D229" s="14">
        <v>6.5206863E7</v>
      </c>
      <c r="E229" s="14">
        <v>2209817.0</v>
      </c>
      <c r="F229" s="14">
        <v>3.661434023439E12</v>
      </c>
      <c r="G229" s="8"/>
      <c r="I229" s="16">
        <v>20.0</v>
      </c>
      <c r="J229" s="16">
        <v>33.9</v>
      </c>
      <c r="K229" s="12">
        <f t="shared" ref="K229:K232" si="14">I229*0.7*1.262</f>
        <v>17.668</v>
      </c>
    </row>
    <row r="230" ht="9.75" customHeight="1">
      <c r="B230" s="13" t="s">
        <v>154</v>
      </c>
      <c r="C230" s="14">
        <v>30.0</v>
      </c>
      <c r="D230" s="14">
        <v>6.5206865E7</v>
      </c>
      <c r="E230" s="14">
        <v>2158931.0</v>
      </c>
      <c r="F230" s="14">
        <v>3.661434009976E12</v>
      </c>
      <c r="G230" s="8"/>
      <c r="I230" s="16">
        <v>28.32</v>
      </c>
      <c r="J230" s="16">
        <v>48.0</v>
      </c>
      <c r="K230" s="12">
        <f t="shared" si="14"/>
        <v>25.017888</v>
      </c>
    </row>
    <row r="231" ht="9.75" customHeight="1">
      <c r="B231" s="13" t="s">
        <v>155</v>
      </c>
      <c r="C231" s="14">
        <v>50.0</v>
      </c>
      <c r="D231" s="14">
        <v>6.5172847E7</v>
      </c>
      <c r="E231" s="14">
        <v>2075177.0</v>
      </c>
      <c r="F231" s="14">
        <v>3.661434009181E12</v>
      </c>
      <c r="G231" s="8"/>
      <c r="I231" s="16">
        <v>27.67</v>
      </c>
      <c r="J231" s="16">
        <v>46.9</v>
      </c>
      <c r="K231" s="12">
        <f t="shared" si="14"/>
        <v>24.443678</v>
      </c>
    </row>
    <row r="232" ht="9.75" customHeight="1">
      <c r="B232" s="13" t="s">
        <v>156</v>
      </c>
      <c r="C232" s="14">
        <v>50.0</v>
      </c>
      <c r="D232" s="14">
        <v>6.5219104E7</v>
      </c>
      <c r="E232" s="14">
        <v>2075160.0</v>
      </c>
      <c r="F232" s="14">
        <v>3.661434009198E12</v>
      </c>
      <c r="G232" s="8"/>
      <c r="I232" s="16">
        <v>27.67</v>
      </c>
      <c r="J232" s="16">
        <v>46.9</v>
      </c>
      <c r="K232" s="12">
        <f t="shared" si="14"/>
        <v>24.443678</v>
      </c>
    </row>
    <row r="233" ht="9.75" customHeight="1">
      <c r="B233" s="75" t="s">
        <v>157</v>
      </c>
      <c r="C233" s="35"/>
      <c r="D233" s="35"/>
      <c r="E233" s="35"/>
      <c r="F233" s="36"/>
      <c r="G233" s="8"/>
      <c r="I233" s="76"/>
      <c r="J233" s="36"/>
      <c r="K233" s="12">
        <f>H233*0.7*1.262</f>
        <v>0</v>
      </c>
    </row>
    <row r="234" ht="9.75" customHeight="1">
      <c r="B234" s="13" t="s">
        <v>158</v>
      </c>
      <c r="C234" s="14">
        <v>100.0</v>
      </c>
      <c r="D234" s="14">
        <v>6.5183097E7</v>
      </c>
      <c r="E234" s="14">
        <v>1874450.0</v>
      </c>
      <c r="F234" s="14">
        <v>3.661434009785E12</v>
      </c>
      <c r="G234" s="8"/>
      <c r="I234" s="16">
        <v>9.97</v>
      </c>
      <c r="J234" s="16">
        <v>16.9</v>
      </c>
      <c r="K234" s="12">
        <f t="shared" ref="K234:K238" si="15">I234*0.7*1.262</f>
        <v>8.807498</v>
      </c>
    </row>
    <row r="235" ht="9.75" customHeight="1">
      <c r="B235" s="13" t="s">
        <v>159</v>
      </c>
      <c r="C235" s="14">
        <v>15.0</v>
      </c>
      <c r="D235" s="14">
        <v>6.5216008E7</v>
      </c>
      <c r="E235" s="14">
        <v>1874429.0</v>
      </c>
      <c r="F235" s="14">
        <v>3.661434009792E12</v>
      </c>
      <c r="G235" s="8"/>
      <c r="I235" s="16">
        <v>16.46</v>
      </c>
      <c r="J235" s="16">
        <v>27.9</v>
      </c>
      <c r="K235" s="12">
        <f t="shared" si="15"/>
        <v>14.540764</v>
      </c>
    </row>
    <row r="236" ht="9.75" customHeight="1">
      <c r="B236" s="13" t="s">
        <v>160</v>
      </c>
      <c r="C236" s="14">
        <v>30.0</v>
      </c>
      <c r="D236" s="14">
        <v>6.5219838E7</v>
      </c>
      <c r="E236" s="14">
        <v>2112384.0</v>
      </c>
      <c r="F236" s="14">
        <v>3.661434009754E12</v>
      </c>
      <c r="G236" s="8"/>
      <c r="I236" s="16">
        <v>21.18</v>
      </c>
      <c r="J236" s="16">
        <v>35.9</v>
      </c>
      <c r="K236" s="12">
        <f t="shared" si="15"/>
        <v>18.710412</v>
      </c>
    </row>
    <row r="237" ht="9.75" customHeight="1">
      <c r="B237" s="13" t="s">
        <v>161</v>
      </c>
      <c r="C237" s="14">
        <v>30.0</v>
      </c>
      <c r="D237" s="14">
        <v>6.5183105E7</v>
      </c>
      <c r="E237" s="14">
        <v>3701556.0</v>
      </c>
      <c r="F237" s="14">
        <v>3.661434009778E12</v>
      </c>
      <c r="G237" s="8"/>
      <c r="I237" s="16">
        <v>17.64</v>
      </c>
      <c r="J237" s="16">
        <v>29.9</v>
      </c>
      <c r="K237" s="12">
        <f t="shared" si="15"/>
        <v>15.583176</v>
      </c>
    </row>
    <row r="238" ht="9.75" customHeight="1">
      <c r="B238" s="13" t="s">
        <v>162</v>
      </c>
      <c r="C238" s="14">
        <v>30.0</v>
      </c>
      <c r="D238" s="14">
        <v>6.5183106E7</v>
      </c>
      <c r="E238" s="14">
        <v>2112377.0</v>
      </c>
      <c r="F238" s="14">
        <v>3.661434009761E12</v>
      </c>
      <c r="G238" s="8"/>
      <c r="I238" s="16">
        <v>18.82</v>
      </c>
      <c r="J238" s="16">
        <v>31.9</v>
      </c>
      <c r="K238" s="12">
        <f t="shared" si="15"/>
        <v>16.625588</v>
      </c>
    </row>
    <row r="239" ht="10.5" customHeight="1">
      <c r="B239" s="77" t="s">
        <v>163</v>
      </c>
      <c r="C239" s="35"/>
      <c r="D239" s="35"/>
      <c r="E239" s="35"/>
      <c r="F239" s="36"/>
      <c r="G239" s="8"/>
      <c r="I239" s="78"/>
      <c r="J239" s="36"/>
      <c r="K239" s="12">
        <f t="shared" ref="K239:K241" si="16">H239*0.7*1.262</f>
        <v>0</v>
      </c>
    </row>
    <row r="240" ht="9.0" customHeight="1">
      <c r="B240" s="17" t="s">
        <v>164</v>
      </c>
      <c r="C240" s="35"/>
      <c r="D240" s="35"/>
      <c r="E240" s="35"/>
      <c r="F240" s="35"/>
      <c r="G240" s="8"/>
      <c r="I240" s="8"/>
      <c r="J240" s="8"/>
      <c r="K240" s="12">
        <f t="shared" si="16"/>
        <v>0</v>
      </c>
    </row>
    <row r="241" ht="5.25" customHeight="1">
      <c r="B241" s="19" t="s">
        <v>165</v>
      </c>
      <c r="C241" s="20">
        <v>500.0</v>
      </c>
      <c r="D241" s="20">
        <v>6.5229264E7</v>
      </c>
      <c r="E241" s="20">
        <v>1951762.0</v>
      </c>
      <c r="F241" s="20">
        <v>3.661434008146E12</v>
      </c>
      <c r="G241" s="8"/>
      <c r="I241" s="8"/>
      <c r="J241" s="8"/>
      <c r="K241" s="12">
        <f t="shared" si="16"/>
        <v>0</v>
      </c>
    </row>
    <row r="242" ht="9.0" customHeight="1">
      <c r="B242" s="21"/>
      <c r="C242" s="21"/>
      <c r="D242" s="21"/>
      <c r="E242" s="21"/>
      <c r="F242" s="21"/>
      <c r="G242" s="8"/>
      <c r="I242" s="16">
        <v>8.79</v>
      </c>
      <c r="J242" s="16">
        <v>14.9</v>
      </c>
      <c r="K242" s="12">
        <f t="shared" ref="K242:K336" si="17">I242*0.75*1.262</f>
        <v>8.319735</v>
      </c>
    </row>
    <row r="243" ht="5.25" customHeight="1">
      <c r="B243" s="19" t="s">
        <v>166</v>
      </c>
      <c r="C243" s="20">
        <v>150.0</v>
      </c>
      <c r="D243" s="20">
        <v>6.5163961E7</v>
      </c>
      <c r="E243" s="20">
        <v>1843579.0</v>
      </c>
      <c r="F243" s="20">
        <v>3.661434005732E12</v>
      </c>
      <c r="G243" s="8"/>
      <c r="I243" s="8"/>
      <c r="J243" s="8"/>
      <c r="K243" s="12">
        <f t="shared" si="17"/>
        <v>0</v>
      </c>
    </row>
    <row r="244" ht="9.0" customHeight="1">
      <c r="B244" s="21"/>
      <c r="C244" s="21"/>
      <c r="D244" s="21"/>
      <c r="E244" s="21"/>
      <c r="F244" s="21"/>
      <c r="G244" s="8"/>
      <c r="I244" s="16">
        <v>6.2</v>
      </c>
      <c r="J244" s="16">
        <v>10.5</v>
      </c>
      <c r="K244" s="12">
        <f t="shared" si="17"/>
        <v>5.8683</v>
      </c>
    </row>
    <row r="245" ht="10.5" customHeight="1">
      <c r="B245" s="13" t="s">
        <v>167</v>
      </c>
      <c r="C245" s="14">
        <v>100.0</v>
      </c>
      <c r="D245" s="14">
        <v>6.5172645E7</v>
      </c>
      <c r="E245" s="14">
        <v>2034525.0</v>
      </c>
      <c r="F245" s="14">
        <v>3.661434008825E12</v>
      </c>
      <c r="G245" s="8"/>
      <c r="I245" s="16">
        <v>6.43</v>
      </c>
      <c r="J245" s="16">
        <v>10.9</v>
      </c>
      <c r="K245" s="12">
        <f t="shared" si="17"/>
        <v>6.085995</v>
      </c>
    </row>
    <row r="246" ht="5.25" customHeight="1">
      <c r="B246" s="19" t="s">
        <v>168</v>
      </c>
      <c r="C246" s="20">
        <v>500.0</v>
      </c>
      <c r="D246" s="20">
        <v>6.5206609E7</v>
      </c>
      <c r="E246" s="20">
        <v>2033269.0</v>
      </c>
      <c r="F246" s="20">
        <v>3.661434008672E12</v>
      </c>
      <c r="G246" s="8"/>
      <c r="I246" s="8"/>
      <c r="J246" s="8"/>
      <c r="K246" s="12">
        <f t="shared" si="17"/>
        <v>0</v>
      </c>
    </row>
    <row r="247" ht="9.0" customHeight="1">
      <c r="B247" s="21"/>
      <c r="C247" s="21"/>
      <c r="D247" s="21"/>
      <c r="E247" s="21"/>
      <c r="F247" s="21"/>
      <c r="G247" s="8"/>
      <c r="I247" s="16">
        <v>8.79</v>
      </c>
      <c r="J247" s="16">
        <v>14.9</v>
      </c>
      <c r="K247" s="12">
        <f t="shared" si="17"/>
        <v>8.319735</v>
      </c>
    </row>
    <row r="248" ht="5.25" customHeight="1">
      <c r="B248" s="19" t="s">
        <v>169</v>
      </c>
      <c r="C248" s="20">
        <v>500.0</v>
      </c>
      <c r="D248" s="20">
        <v>6.5171819E7</v>
      </c>
      <c r="E248" s="20">
        <v>2033122.0</v>
      </c>
      <c r="F248" s="20">
        <v>3.66143400874E12</v>
      </c>
      <c r="G248" s="8"/>
      <c r="I248" s="8"/>
      <c r="J248" s="8"/>
      <c r="K248" s="12">
        <f t="shared" si="17"/>
        <v>0</v>
      </c>
    </row>
    <row r="249" ht="9.0" customHeight="1">
      <c r="B249" s="21"/>
      <c r="C249" s="21"/>
      <c r="D249" s="21"/>
      <c r="E249" s="21"/>
      <c r="F249" s="21"/>
      <c r="G249" s="8"/>
      <c r="I249" s="16">
        <v>8.79</v>
      </c>
      <c r="J249" s="16">
        <v>14.9</v>
      </c>
      <c r="K249" s="12">
        <f t="shared" si="17"/>
        <v>8.319735</v>
      </c>
    </row>
    <row r="250" ht="5.25" customHeight="1">
      <c r="B250" s="19" t="s">
        <v>170</v>
      </c>
      <c r="C250" s="20">
        <v>200.0</v>
      </c>
      <c r="D250" s="20">
        <v>6.5163992E7</v>
      </c>
      <c r="E250" s="20">
        <v>2033214.0</v>
      </c>
      <c r="F250" s="20">
        <v>3.661434008627E12</v>
      </c>
      <c r="G250" s="8"/>
      <c r="I250" s="8"/>
      <c r="J250" s="8"/>
      <c r="K250" s="12">
        <f t="shared" si="17"/>
        <v>0</v>
      </c>
    </row>
    <row r="251" ht="9.0" customHeight="1">
      <c r="B251" s="21"/>
      <c r="C251" s="21"/>
      <c r="D251" s="21"/>
      <c r="E251" s="21"/>
      <c r="F251" s="21"/>
      <c r="G251" s="8"/>
      <c r="I251" s="16">
        <v>5.25</v>
      </c>
      <c r="J251" s="16">
        <v>8.9</v>
      </c>
      <c r="K251" s="12">
        <f t="shared" si="17"/>
        <v>4.969125</v>
      </c>
    </row>
    <row r="252" ht="5.25" customHeight="1">
      <c r="B252" s="19" t="s">
        <v>171</v>
      </c>
      <c r="C252" s="20">
        <v>500.0</v>
      </c>
      <c r="D252" s="20">
        <v>6.5195385E7</v>
      </c>
      <c r="E252" s="20">
        <v>2033108.0</v>
      </c>
      <c r="F252" s="20">
        <v>3.661434008719E12</v>
      </c>
      <c r="G252" s="8"/>
      <c r="I252" s="8"/>
      <c r="J252" s="8"/>
      <c r="K252" s="12">
        <f t="shared" si="17"/>
        <v>0</v>
      </c>
    </row>
    <row r="253" ht="9.0" customHeight="1">
      <c r="B253" s="21"/>
      <c r="C253" s="21"/>
      <c r="D253" s="21"/>
      <c r="E253" s="21"/>
      <c r="F253" s="21"/>
      <c r="G253" s="8"/>
      <c r="I253" s="16">
        <v>8.79</v>
      </c>
      <c r="J253" s="16">
        <v>14.9</v>
      </c>
      <c r="K253" s="12">
        <f t="shared" si="17"/>
        <v>8.319735</v>
      </c>
    </row>
    <row r="254" ht="9.0" customHeight="1">
      <c r="B254" s="13" t="s">
        <v>172</v>
      </c>
      <c r="C254" s="14">
        <v>70.0</v>
      </c>
      <c r="D254" s="14">
        <v>6.5195373E7</v>
      </c>
      <c r="E254" s="14">
        <v>2033139.0</v>
      </c>
      <c r="F254" s="14">
        <v>3.661434008757E12</v>
      </c>
      <c r="G254" s="8"/>
      <c r="I254" s="16">
        <v>4.66</v>
      </c>
      <c r="J254" s="16">
        <v>7.9</v>
      </c>
      <c r="K254" s="12">
        <f t="shared" si="17"/>
        <v>4.41069</v>
      </c>
    </row>
    <row r="255" ht="5.25" customHeight="1">
      <c r="B255" s="19" t="s">
        <v>173</v>
      </c>
      <c r="C255" s="27">
        <v>50.0</v>
      </c>
      <c r="D255" s="20">
        <v>6.5218077E7</v>
      </c>
      <c r="E255" s="20">
        <v>2033146.0</v>
      </c>
      <c r="F255" s="20">
        <v>3.661434008764E12</v>
      </c>
      <c r="G255" s="8"/>
      <c r="I255" s="8"/>
      <c r="J255" s="8"/>
      <c r="K255" s="12">
        <f t="shared" si="17"/>
        <v>0</v>
      </c>
    </row>
    <row r="256" ht="9.0" customHeight="1">
      <c r="B256" s="21"/>
      <c r="C256" s="21"/>
      <c r="D256" s="21"/>
      <c r="E256" s="21"/>
      <c r="F256" s="21"/>
      <c r="G256" s="8"/>
      <c r="I256" s="16">
        <v>6.43</v>
      </c>
      <c r="J256" s="16">
        <v>10.9</v>
      </c>
      <c r="K256" s="12">
        <f t="shared" si="17"/>
        <v>6.085995</v>
      </c>
    </row>
    <row r="257" ht="9.0" customHeight="1">
      <c r="B257" s="17" t="s">
        <v>174</v>
      </c>
      <c r="C257" s="35"/>
      <c r="D257" s="35"/>
      <c r="E257" s="35"/>
      <c r="F257" s="35"/>
      <c r="G257" s="8"/>
      <c r="I257" s="8"/>
      <c r="J257" s="8"/>
      <c r="K257" s="12">
        <f t="shared" si="17"/>
        <v>0</v>
      </c>
    </row>
    <row r="258" ht="5.25" customHeight="1">
      <c r="B258" s="19" t="s">
        <v>175</v>
      </c>
      <c r="C258" s="20">
        <v>200.0</v>
      </c>
      <c r="D258" s="20">
        <v>6.5229263E7</v>
      </c>
      <c r="E258" s="20">
        <v>1951755.0</v>
      </c>
      <c r="F258" s="20">
        <v>3.661434008139E12</v>
      </c>
      <c r="G258" s="8"/>
      <c r="I258" s="8"/>
      <c r="J258" s="8"/>
      <c r="K258" s="12">
        <f t="shared" si="17"/>
        <v>0</v>
      </c>
    </row>
    <row r="259" ht="9.0" customHeight="1">
      <c r="B259" s="21"/>
      <c r="C259" s="21"/>
      <c r="D259" s="21"/>
      <c r="E259" s="21"/>
      <c r="F259" s="21"/>
      <c r="G259" s="8"/>
      <c r="I259" s="16">
        <v>9.38</v>
      </c>
      <c r="J259" s="16">
        <v>15.9</v>
      </c>
      <c r="K259" s="12">
        <f t="shared" si="17"/>
        <v>8.87817</v>
      </c>
    </row>
    <row r="260" ht="5.25" customHeight="1">
      <c r="B260" s="19" t="s">
        <v>176</v>
      </c>
      <c r="C260" s="20">
        <v>100.0</v>
      </c>
      <c r="D260" s="20">
        <v>6.516401E7</v>
      </c>
      <c r="E260" s="20">
        <v>2033177.0</v>
      </c>
      <c r="F260" s="20">
        <v>3.661434008597E12</v>
      </c>
      <c r="G260" s="8"/>
      <c r="I260" s="8"/>
      <c r="J260" s="8"/>
      <c r="K260" s="12">
        <f t="shared" si="17"/>
        <v>0</v>
      </c>
    </row>
    <row r="261" ht="9.0" customHeight="1">
      <c r="B261" s="21"/>
      <c r="C261" s="21"/>
      <c r="D261" s="21"/>
      <c r="E261" s="21"/>
      <c r="F261" s="21"/>
      <c r="G261" s="8"/>
      <c r="I261" s="16">
        <v>5.84</v>
      </c>
      <c r="J261" s="16">
        <v>9.9</v>
      </c>
      <c r="K261" s="12">
        <f t="shared" si="17"/>
        <v>5.52756</v>
      </c>
    </row>
    <row r="262" ht="5.25" customHeight="1">
      <c r="B262" s="19" t="s">
        <v>177</v>
      </c>
      <c r="C262" s="27">
        <v>75.0</v>
      </c>
      <c r="D262" s="20">
        <v>6.5199428E7</v>
      </c>
      <c r="E262" s="20">
        <v>2033184.0</v>
      </c>
      <c r="F262" s="20">
        <v>3.661434008603E12</v>
      </c>
      <c r="G262" s="8"/>
      <c r="I262" s="8"/>
      <c r="J262" s="8"/>
      <c r="K262" s="12">
        <f t="shared" si="17"/>
        <v>0</v>
      </c>
    </row>
    <row r="263" ht="9.0" customHeight="1">
      <c r="B263" s="21"/>
      <c r="C263" s="21"/>
      <c r="D263" s="21"/>
      <c r="E263" s="21"/>
      <c r="F263" s="21"/>
      <c r="G263" s="8"/>
      <c r="I263" s="16">
        <v>6.43</v>
      </c>
      <c r="J263" s="16">
        <v>10.9</v>
      </c>
      <c r="K263" s="12">
        <f t="shared" si="17"/>
        <v>6.085995</v>
      </c>
    </row>
    <row r="264" ht="9.75" customHeight="1">
      <c r="B264" s="13" t="s">
        <v>178</v>
      </c>
      <c r="C264" s="14">
        <v>500.0</v>
      </c>
      <c r="D264" s="14">
        <v>6.5164002E7</v>
      </c>
      <c r="E264" s="14">
        <v>2033207.0</v>
      </c>
      <c r="F264" s="14">
        <v>3.66143400861E12</v>
      </c>
      <c r="G264" s="8"/>
      <c r="I264" s="16">
        <v>10.56</v>
      </c>
      <c r="J264" s="16">
        <v>17.9</v>
      </c>
      <c r="K264" s="12">
        <f t="shared" si="17"/>
        <v>9.99504</v>
      </c>
    </row>
    <row r="265" ht="9.75" customHeight="1">
      <c r="B265" s="13" t="s">
        <v>179</v>
      </c>
      <c r="C265" s="14">
        <v>40.0</v>
      </c>
      <c r="D265" s="14">
        <v>6.516399E7</v>
      </c>
      <c r="E265" s="14">
        <v>1874283.0</v>
      </c>
      <c r="F265" s="14">
        <v>3.661434002502E12</v>
      </c>
      <c r="G265" s="8"/>
      <c r="I265" s="16">
        <v>7.02</v>
      </c>
      <c r="J265" s="16">
        <v>11.9</v>
      </c>
      <c r="K265" s="12">
        <f t="shared" si="17"/>
        <v>6.64443</v>
      </c>
    </row>
    <row r="266" ht="10.5" customHeight="1">
      <c r="B266" s="13" t="s">
        <v>180</v>
      </c>
      <c r="C266" s="14">
        <v>30.0</v>
      </c>
      <c r="D266" s="14">
        <v>6.5163989E7</v>
      </c>
      <c r="E266" s="14">
        <v>2033221.0</v>
      </c>
      <c r="F266" s="14">
        <v>3.661434008634E12</v>
      </c>
      <c r="G266" s="8"/>
      <c r="I266" s="16">
        <v>8.26</v>
      </c>
      <c r="J266" s="16">
        <v>14.0</v>
      </c>
      <c r="K266" s="12">
        <f t="shared" si="17"/>
        <v>7.81809</v>
      </c>
    </row>
    <row r="267" ht="5.25" customHeight="1">
      <c r="B267" s="19" t="s">
        <v>181</v>
      </c>
      <c r="C267" s="20">
        <v>100.0</v>
      </c>
      <c r="D267" s="20">
        <v>6.5163984E7</v>
      </c>
      <c r="E267" s="20">
        <v>2033160.0</v>
      </c>
      <c r="F267" s="20">
        <v>3.661434008641E12</v>
      </c>
      <c r="G267" s="8"/>
      <c r="I267" s="8"/>
      <c r="J267" s="8"/>
      <c r="K267" s="12">
        <f t="shared" si="17"/>
        <v>0</v>
      </c>
    </row>
    <row r="268" ht="9.0" customHeight="1">
      <c r="B268" s="21"/>
      <c r="C268" s="21"/>
      <c r="D268" s="21"/>
      <c r="E268" s="21"/>
      <c r="F268" s="21"/>
      <c r="G268" s="8"/>
      <c r="I268" s="16">
        <v>8.26</v>
      </c>
      <c r="J268" s="16">
        <v>14.0</v>
      </c>
      <c r="K268" s="12">
        <f t="shared" si="17"/>
        <v>7.81809</v>
      </c>
    </row>
    <row r="269" ht="5.25" customHeight="1">
      <c r="B269" s="19" t="s">
        <v>182</v>
      </c>
      <c r="C269" s="27">
        <v>75.0</v>
      </c>
      <c r="D269" s="20">
        <v>6.5163993E7</v>
      </c>
      <c r="E269" s="20">
        <v>2027466.0</v>
      </c>
      <c r="F269" s="20">
        <v>3.661434008832E12</v>
      </c>
      <c r="G269" s="8"/>
      <c r="I269" s="8"/>
      <c r="J269" s="8"/>
      <c r="K269" s="12">
        <f t="shared" si="17"/>
        <v>0</v>
      </c>
    </row>
    <row r="270" ht="9.0" customHeight="1">
      <c r="B270" s="21"/>
      <c r="C270" s="21"/>
      <c r="D270" s="21"/>
      <c r="E270" s="21"/>
      <c r="F270" s="21"/>
      <c r="G270" s="8"/>
      <c r="I270" s="16">
        <v>2.66</v>
      </c>
      <c r="J270" s="16">
        <v>4.5</v>
      </c>
      <c r="K270" s="12">
        <f t="shared" si="17"/>
        <v>2.51769</v>
      </c>
    </row>
    <row r="271" ht="9.0" customHeight="1">
      <c r="B271" s="17" t="s">
        <v>183</v>
      </c>
      <c r="C271" s="35"/>
      <c r="D271" s="35"/>
      <c r="E271" s="35"/>
      <c r="F271" s="35"/>
      <c r="G271" s="8"/>
      <c r="I271" s="8"/>
      <c r="J271" s="8"/>
      <c r="K271" s="12">
        <f t="shared" si="17"/>
        <v>0</v>
      </c>
    </row>
    <row r="272" ht="5.25" customHeight="1">
      <c r="B272" s="19" t="s">
        <v>184</v>
      </c>
      <c r="C272" s="27">
        <v>50.0</v>
      </c>
      <c r="D272" s="20">
        <v>6.5176071E7</v>
      </c>
      <c r="E272" s="20">
        <v>1843562.0</v>
      </c>
      <c r="F272" s="20">
        <v>3.661434005725E12</v>
      </c>
      <c r="G272" s="8"/>
      <c r="I272" s="8"/>
      <c r="J272" s="8"/>
      <c r="K272" s="12">
        <f t="shared" si="17"/>
        <v>0</v>
      </c>
    </row>
    <row r="273" ht="9.0" customHeight="1">
      <c r="B273" s="21"/>
      <c r="C273" s="21"/>
      <c r="D273" s="21"/>
      <c r="E273" s="21"/>
      <c r="F273" s="21"/>
      <c r="G273" s="8"/>
      <c r="I273" s="16">
        <v>10.56</v>
      </c>
      <c r="J273" s="16">
        <v>17.9</v>
      </c>
      <c r="K273" s="12">
        <f t="shared" si="17"/>
        <v>9.99504</v>
      </c>
    </row>
    <row r="274" ht="5.25" customHeight="1">
      <c r="B274" s="79" t="s">
        <v>185</v>
      </c>
      <c r="C274" s="44"/>
      <c r="D274" s="44"/>
      <c r="E274" s="44"/>
      <c r="F274" s="45"/>
      <c r="G274" s="8"/>
      <c r="I274" s="8"/>
      <c r="J274" s="8"/>
      <c r="K274" s="12">
        <f t="shared" si="17"/>
        <v>0</v>
      </c>
    </row>
    <row r="275" ht="9.0" customHeight="1">
      <c r="B275" s="25"/>
      <c r="C275" s="49"/>
      <c r="D275" s="49"/>
      <c r="E275" s="49"/>
      <c r="F275" s="50"/>
      <c r="G275" s="8"/>
      <c r="I275" s="80"/>
      <c r="J275" s="36"/>
      <c r="K275" s="12">
        <f t="shared" si="17"/>
        <v>0</v>
      </c>
    </row>
    <row r="276" ht="5.25" customHeight="1">
      <c r="B276" s="81" t="s">
        <v>186</v>
      </c>
      <c r="C276" s="44"/>
      <c r="D276" s="44"/>
      <c r="E276" s="44"/>
      <c r="F276" s="45"/>
      <c r="G276" s="8"/>
      <c r="I276" s="8"/>
      <c r="J276" s="8"/>
      <c r="K276" s="12">
        <f t="shared" si="17"/>
        <v>0</v>
      </c>
    </row>
    <row r="277" ht="9.0" customHeight="1">
      <c r="B277" s="25"/>
      <c r="C277" s="49"/>
      <c r="D277" s="49"/>
      <c r="E277" s="49"/>
      <c r="F277" s="50"/>
      <c r="G277" s="8"/>
      <c r="I277" s="82"/>
      <c r="J277" s="36"/>
      <c r="K277" s="12">
        <f t="shared" si="17"/>
        <v>0</v>
      </c>
    </row>
    <row r="278" ht="9.0" customHeight="1">
      <c r="B278" s="17" t="s">
        <v>187</v>
      </c>
      <c r="C278" s="35"/>
      <c r="D278" s="35"/>
      <c r="E278" s="35"/>
      <c r="F278" s="35"/>
      <c r="G278" s="8"/>
      <c r="I278" s="8"/>
      <c r="J278" s="8"/>
      <c r="K278" s="12">
        <f t="shared" si="17"/>
        <v>0</v>
      </c>
    </row>
    <row r="279" ht="5.25" customHeight="1">
      <c r="B279" s="19" t="s">
        <v>188</v>
      </c>
      <c r="C279" s="27">
        <v>50.0</v>
      </c>
      <c r="D279" s="20">
        <v>6.5242856E7</v>
      </c>
      <c r="E279" s="20">
        <v>1949127.0</v>
      </c>
      <c r="F279" s="20">
        <v>3.661434028175E12</v>
      </c>
      <c r="G279" s="8"/>
      <c r="I279" s="8"/>
      <c r="J279" s="8"/>
      <c r="K279" s="12">
        <f t="shared" si="17"/>
        <v>0</v>
      </c>
    </row>
    <row r="280" ht="9.0" customHeight="1">
      <c r="B280" s="21"/>
      <c r="C280" s="21"/>
      <c r="D280" s="21"/>
      <c r="E280" s="21"/>
      <c r="F280" s="21"/>
      <c r="G280" s="8"/>
      <c r="I280" s="16">
        <v>15.87</v>
      </c>
      <c r="J280" s="16">
        <v>26.9</v>
      </c>
      <c r="K280" s="12">
        <f t="shared" si="17"/>
        <v>15.020955</v>
      </c>
    </row>
    <row r="281" ht="5.25" customHeight="1">
      <c r="B281" s="19" t="s">
        <v>189</v>
      </c>
      <c r="C281" s="27">
        <v>40.0</v>
      </c>
      <c r="D281" s="20">
        <v>6.5242852E7</v>
      </c>
      <c r="E281" s="20">
        <v>2038141.0</v>
      </c>
      <c r="F281" s="20">
        <v>3.66143402809E12</v>
      </c>
      <c r="G281" s="8"/>
      <c r="I281" s="8"/>
      <c r="J281" s="8"/>
      <c r="K281" s="12">
        <f t="shared" si="17"/>
        <v>0</v>
      </c>
    </row>
    <row r="282" ht="9.0" customHeight="1">
      <c r="B282" s="21"/>
      <c r="C282" s="21"/>
      <c r="D282" s="21"/>
      <c r="E282" s="21"/>
      <c r="F282" s="21"/>
      <c r="G282" s="8"/>
      <c r="I282" s="16">
        <v>14.69</v>
      </c>
      <c r="J282" s="16">
        <v>24.9</v>
      </c>
      <c r="K282" s="12">
        <f t="shared" si="17"/>
        <v>13.904085</v>
      </c>
    </row>
    <row r="283" ht="5.25" customHeight="1">
      <c r="B283" s="19" t="s">
        <v>190</v>
      </c>
      <c r="C283" s="20">
        <v>100.0</v>
      </c>
      <c r="D283" s="20">
        <v>6.5242841E7</v>
      </c>
      <c r="E283" s="20">
        <v>2038226.0</v>
      </c>
      <c r="F283" s="20">
        <v>3.661434028106E12</v>
      </c>
      <c r="G283" s="8"/>
      <c r="I283" s="8"/>
      <c r="J283" s="8"/>
      <c r="K283" s="12">
        <f t="shared" si="17"/>
        <v>0</v>
      </c>
    </row>
    <row r="284" ht="9.0" customHeight="1">
      <c r="B284" s="21"/>
      <c r="C284" s="21"/>
      <c r="D284" s="21"/>
      <c r="E284" s="21"/>
      <c r="F284" s="21"/>
      <c r="G284" s="8"/>
      <c r="I284" s="16">
        <v>12.39</v>
      </c>
      <c r="J284" s="16">
        <v>21.0</v>
      </c>
      <c r="K284" s="12">
        <f t="shared" si="17"/>
        <v>11.727135</v>
      </c>
    </row>
    <row r="285" ht="5.25" customHeight="1">
      <c r="B285" s="19" t="s">
        <v>191</v>
      </c>
      <c r="C285" s="20">
        <v>200.0</v>
      </c>
      <c r="D285" s="20">
        <v>6.5242843E7</v>
      </c>
      <c r="E285" s="20">
        <v>2038196.0</v>
      </c>
      <c r="F285" s="20">
        <v>3.661434028014E12</v>
      </c>
      <c r="G285" s="8"/>
      <c r="I285" s="8"/>
      <c r="J285" s="8"/>
      <c r="K285" s="12">
        <f t="shared" si="17"/>
        <v>0</v>
      </c>
    </row>
    <row r="286" ht="9.0" customHeight="1">
      <c r="B286" s="21"/>
      <c r="C286" s="21"/>
      <c r="D286" s="21"/>
      <c r="E286" s="21"/>
      <c r="F286" s="21"/>
      <c r="G286" s="8"/>
      <c r="I286" s="16">
        <v>15.28</v>
      </c>
      <c r="J286" s="16">
        <v>25.9</v>
      </c>
      <c r="K286" s="12">
        <f t="shared" si="17"/>
        <v>14.46252</v>
      </c>
    </row>
    <row r="287" ht="5.25" customHeight="1">
      <c r="B287" s="19" t="s">
        <v>192</v>
      </c>
      <c r="C287" s="27">
        <v>4.0</v>
      </c>
      <c r="D287" s="20">
        <v>6.5243722E7</v>
      </c>
      <c r="E287" s="20">
        <v>2038240.0</v>
      </c>
      <c r="F287" s="20">
        <v>3.661434032738E12</v>
      </c>
      <c r="G287" s="8"/>
      <c r="I287" s="8"/>
      <c r="J287" s="8"/>
      <c r="K287" s="12">
        <f t="shared" si="17"/>
        <v>0</v>
      </c>
    </row>
    <row r="288" ht="9.0" customHeight="1">
      <c r="B288" s="21"/>
      <c r="C288" s="21"/>
      <c r="D288" s="21"/>
      <c r="E288" s="21"/>
      <c r="F288" s="21"/>
      <c r="G288" s="8"/>
      <c r="I288" s="16">
        <v>5.13</v>
      </c>
      <c r="J288" s="16">
        <v>8.7</v>
      </c>
      <c r="K288" s="12">
        <f t="shared" si="17"/>
        <v>4.855545</v>
      </c>
    </row>
    <row r="289" ht="9.0" customHeight="1">
      <c r="B289" s="17" t="s">
        <v>193</v>
      </c>
      <c r="C289" s="35"/>
      <c r="D289" s="35"/>
      <c r="E289" s="35"/>
      <c r="F289" s="35"/>
      <c r="G289" s="8"/>
      <c r="I289" s="8"/>
      <c r="J289" s="8"/>
      <c r="K289" s="12">
        <f t="shared" si="17"/>
        <v>0</v>
      </c>
    </row>
    <row r="290" ht="5.25" customHeight="1">
      <c r="B290" s="19" t="s">
        <v>194</v>
      </c>
      <c r="C290" s="27">
        <v>18.0</v>
      </c>
      <c r="D290" s="20">
        <v>6.5221588E7</v>
      </c>
      <c r="E290" s="20">
        <v>3053266.0</v>
      </c>
      <c r="F290" s="20">
        <v>3.661434014116E12</v>
      </c>
      <c r="G290" s="8"/>
      <c r="I290" s="8"/>
      <c r="J290" s="8"/>
      <c r="K290" s="12">
        <f t="shared" si="17"/>
        <v>0</v>
      </c>
    </row>
    <row r="291" ht="9.0" customHeight="1">
      <c r="B291" s="21"/>
      <c r="C291" s="21"/>
      <c r="D291" s="21"/>
      <c r="E291" s="21"/>
      <c r="F291" s="21"/>
      <c r="G291" s="8"/>
      <c r="I291" s="16">
        <v>9.29</v>
      </c>
      <c r="J291" s="16">
        <v>15.75</v>
      </c>
      <c r="K291" s="12">
        <f t="shared" si="17"/>
        <v>8.792985</v>
      </c>
    </row>
    <row r="292" ht="5.25" customHeight="1">
      <c r="B292" s="19" t="s">
        <v>195</v>
      </c>
      <c r="C292" s="20">
        <v>100.0</v>
      </c>
      <c r="D292" s="20">
        <v>6.5242847E7</v>
      </c>
      <c r="E292" s="20">
        <v>2323308.0</v>
      </c>
      <c r="F292" s="20">
        <v>3.661434028113E12</v>
      </c>
      <c r="G292" s="8"/>
      <c r="I292" s="8"/>
      <c r="J292" s="8"/>
      <c r="K292" s="12">
        <f t="shared" si="17"/>
        <v>0</v>
      </c>
    </row>
    <row r="293" ht="8.25" customHeight="1">
      <c r="B293" s="21"/>
      <c r="C293" s="21"/>
      <c r="D293" s="21"/>
      <c r="E293" s="21"/>
      <c r="F293" s="21"/>
      <c r="G293" s="8"/>
      <c r="I293" s="24">
        <v>14.1</v>
      </c>
      <c r="J293" s="24">
        <v>23.9</v>
      </c>
      <c r="K293" s="12">
        <f t="shared" si="17"/>
        <v>13.34565</v>
      </c>
    </row>
    <row r="294" ht="5.25" customHeight="1">
      <c r="B294" s="46" t="s">
        <v>196</v>
      </c>
      <c r="C294" s="44"/>
      <c r="D294" s="44"/>
      <c r="E294" s="44"/>
      <c r="F294" s="44"/>
      <c r="G294" s="8"/>
      <c r="I294" s="21"/>
      <c r="J294" s="21"/>
      <c r="K294" s="12">
        <f t="shared" si="17"/>
        <v>0</v>
      </c>
    </row>
    <row r="295" ht="8.25" customHeight="1">
      <c r="B295" s="25"/>
      <c r="C295" s="49"/>
      <c r="D295" s="49"/>
      <c r="E295" s="49"/>
      <c r="F295" s="49"/>
      <c r="G295" s="8"/>
      <c r="I295" s="8"/>
      <c r="J295" s="8"/>
      <c r="K295" s="12">
        <f t="shared" si="17"/>
        <v>0</v>
      </c>
    </row>
    <row r="296" ht="5.25" customHeight="1">
      <c r="B296" s="19" t="s">
        <v>197</v>
      </c>
      <c r="C296" s="27">
        <v>50.0</v>
      </c>
      <c r="D296" s="20">
        <v>6.5242854E7</v>
      </c>
      <c r="E296" s="20">
        <v>2038295.0</v>
      </c>
      <c r="F296" s="20">
        <v>3.661434028069E12</v>
      </c>
      <c r="G296" s="8"/>
      <c r="I296" s="8"/>
      <c r="J296" s="8"/>
      <c r="K296" s="12">
        <f t="shared" si="17"/>
        <v>0</v>
      </c>
    </row>
    <row r="297" ht="9.0" customHeight="1">
      <c r="B297" s="21"/>
      <c r="C297" s="21"/>
      <c r="D297" s="21"/>
      <c r="E297" s="21"/>
      <c r="F297" s="21"/>
      <c r="G297" s="8"/>
      <c r="I297" s="16">
        <v>12.1</v>
      </c>
      <c r="J297" s="16">
        <v>20.5</v>
      </c>
      <c r="K297" s="12">
        <f t="shared" si="17"/>
        <v>11.45265</v>
      </c>
    </row>
    <row r="298" ht="5.25" customHeight="1">
      <c r="B298" s="19" t="s">
        <v>198</v>
      </c>
      <c r="C298" s="27">
        <v>50.0</v>
      </c>
      <c r="D298" s="20">
        <v>6.5242849E7</v>
      </c>
      <c r="E298" s="20">
        <v>2038158.0</v>
      </c>
      <c r="F298" s="20">
        <v>3.661434027628E12</v>
      </c>
      <c r="G298" s="8"/>
      <c r="I298" s="8"/>
      <c r="J298" s="8"/>
      <c r="K298" s="12">
        <f t="shared" si="17"/>
        <v>0</v>
      </c>
    </row>
    <row r="299" ht="9.0" customHeight="1">
      <c r="B299" s="21"/>
      <c r="C299" s="21"/>
      <c r="D299" s="21"/>
      <c r="E299" s="21"/>
      <c r="F299" s="21"/>
      <c r="G299" s="8"/>
      <c r="I299" s="16">
        <v>12.1</v>
      </c>
      <c r="J299" s="16">
        <v>20.5</v>
      </c>
      <c r="K299" s="12">
        <f t="shared" si="17"/>
        <v>11.45265</v>
      </c>
    </row>
    <row r="300" ht="5.25" customHeight="1">
      <c r="B300" s="19" t="s">
        <v>199</v>
      </c>
      <c r="C300" s="27">
        <v>50.0</v>
      </c>
      <c r="D300" s="20">
        <v>6.5242851E7</v>
      </c>
      <c r="E300" s="20">
        <v>2038219.0</v>
      </c>
      <c r="F300" s="20">
        <v>3.661434028076E12</v>
      </c>
      <c r="G300" s="8"/>
      <c r="I300" s="8"/>
      <c r="J300" s="8"/>
      <c r="K300" s="12">
        <f t="shared" si="17"/>
        <v>0</v>
      </c>
    </row>
    <row r="301" ht="9.0" customHeight="1">
      <c r="B301" s="21"/>
      <c r="C301" s="21"/>
      <c r="D301" s="21"/>
      <c r="E301" s="21"/>
      <c r="F301" s="21"/>
      <c r="G301" s="8"/>
      <c r="I301" s="16">
        <v>12.1</v>
      </c>
      <c r="J301" s="16">
        <v>20.5</v>
      </c>
      <c r="K301" s="12">
        <f t="shared" si="17"/>
        <v>11.45265</v>
      </c>
    </row>
    <row r="302" ht="5.25" customHeight="1">
      <c r="B302" s="19" t="s">
        <v>200</v>
      </c>
      <c r="C302" s="27">
        <v>30.0</v>
      </c>
      <c r="D302" s="20">
        <v>6.5242853E7</v>
      </c>
      <c r="E302" s="20">
        <v>2038172.0</v>
      </c>
      <c r="F302" s="20">
        <v>3.661434027994E12</v>
      </c>
      <c r="G302" s="8"/>
      <c r="I302" s="8"/>
      <c r="J302" s="8"/>
      <c r="K302" s="12">
        <f t="shared" si="17"/>
        <v>0</v>
      </c>
    </row>
    <row r="303" ht="9.0" customHeight="1">
      <c r="B303" s="21"/>
      <c r="C303" s="21"/>
      <c r="D303" s="21"/>
      <c r="E303" s="21"/>
      <c r="F303" s="21"/>
      <c r="G303" s="8"/>
      <c r="I303" s="16">
        <v>10.33</v>
      </c>
      <c r="J303" s="16">
        <v>17.5</v>
      </c>
      <c r="K303" s="12">
        <f t="shared" si="17"/>
        <v>9.777345</v>
      </c>
    </row>
    <row r="304" ht="5.25" customHeight="1">
      <c r="B304" s="63" t="s">
        <v>201</v>
      </c>
      <c r="C304" s="27">
        <v>50.0</v>
      </c>
      <c r="D304" s="20">
        <v>6.5242839E7</v>
      </c>
      <c r="E304" s="20">
        <v>2212848.0</v>
      </c>
      <c r="F304" s="20">
        <v>3.661434027512E12</v>
      </c>
      <c r="G304" s="8"/>
      <c r="I304" s="8"/>
      <c r="J304" s="8"/>
      <c r="K304" s="12">
        <f t="shared" si="17"/>
        <v>0</v>
      </c>
    </row>
    <row r="305" ht="8.25" customHeight="1">
      <c r="B305" s="21"/>
      <c r="C305" s="21"/>
      <c r="D305" s="21"/>
      <c r="E305" s="21"/>
      <c r="F305" s="21"/>
      <c r="G305" s="8"/>
      <c r="I305" s="24">
        <v>11.74</v>
      </c>
      <c r="J305" s="24">
        <v>19.9</v>
      </c>
      <c r="K305" s="12">
        <f t="shared" si="17"/>
        <v>11.11191</v>
      </c>
    </row>
    <row r="306" ht="5.25" customHeight="1">
      <c r="B306" s="19" t="s">
        <v>202</v>
      </c>
      <c r="C306" s="20">
        <v>100.0</v>
      </c>
      <c r="D306" s="20">
        <v>6.5242842E7</v>
      </c>
      <c r="E306" s="20">
        <v>2038233.0</v>
      </c>
      <c r="F306" s="20">
        <v>3.661434028083E12</v>
      </c>
      <c r="G306" s="8"/>
      <c r="I306" s="21"/>
      <c r="J306" s="21"/>
      <c r="K306" s="12">
        <f t="shared" si="17"/>
        <v>0</v>
      </c>
    </row>
    <row r="307" ht="8.25" customHeight="1">
      <c r="B307" s="21"/>
      <c r="C307" s="21"/>
      <c r="D307" s="21"/>
      <c r="E307" s="21"/>
      <c r="F307" s="21"/>
      <c r="G307" s="8"/>
      <c r="I307" s="24">
        <v>12.92</v>
      </c>
      <c r="J307" s="24">
        <v>21.9</v>
      </c>
      <c r="K307" s="12">
        <f t="shared" si="17"/>
        <v>12.22878</v>
      </c>
    </row>
    <row r="308" ht="5.25" customHeight="1">
      <c r="B308" s="19" t="s">
        <v>203</v>
      </c>
      <c r="C308" s="20">
        <v>200.0</v>
      </c>
      <c r="D308" s="20">
        <v>6.5242845E7</v>
      </c>
      <c r="E308" s="20">
        <v>2038202.0</v>
      </c>
      <c r="F308" s="20">
        <v>3.661434028038E12</v>
      </c>
      <c r="G308" s="8"/>
      <c r="I308" s="21"/>
      <c r="J308" s="21"/>
      <c r="K308" s="12">
        <f t="shared" si="17"/>
        <v>0</v>
      </c>
    </row>
    <row r="309" ht="8.25" customHeight="1">
      <c r="B309" s="21"/>
      <c r="C309" s="21"/>
      <c r="D309" s="21"/>
      <c r="E309" s="21"/>
      <c r="F309" s="21"/>
      <c r="G309" s="8"/>
      <c r="I309" s="24">
        <v>15.28</v>
      </c>
      <c r="J309" s="24">
        <v>25.9</v>
      </c>
      <c r="K309" s="12">
        <f t="shared" si="17"/>
        <v>14.46252</v>
      </c>
    </row>
    <row r="310" ht="5.25" customHeight="1">
      <c r="B310" s="19" t="s">
        <v>204</v>
      </c>
      <c r="C310" s="20">
        <v>200.0</v>
      </c>
      <c r="D310" s="20">
        <v>6.5242844E7</v>
      </c>
      <c r="E310" s="20">
        <v>2038189.0</v>
      </c>
      <c r="F310" s="20">
        <v>3.661434028021E12</v>
      </c>
      <c r="G310" s="8"/>
      <c r="I310" s="21"/>
      <c r="J310" s="21"/>
      <c r="K310" s="12">
        <f t="shared" si="17"/>
        <v>0</v>
      </c>
    </row>
    <row r="311" ht="8.25" customHeight="1">
      <c r="B311" s="21"/>
      <c r="C311" s="21"/>
      <c r="D311" s="21"/>
      <c r="E311" s="21"/>
      <c r="F311" s="21"/>
      <c r="G311" s="8"/>
      <c r="I311" s="24">
        <v>15.28</v>
      </c>
      <c r="J311" s="24">
        <v>25.9</v>
      </c>
      <c r="K311" s="12">
        <f t="shared" si="17"/>
        <v>14.46252</v>
      </c>
    </row>
    <row r="312" ht="5.25" customHeight="1">
      <c r="B312" s="19" t="s">
        <v>205</v>
      </c>
      <c r="C312" s="20">
        <v>200.0</v>
      </c>
      <c r="D312" s="20">
        <v>6.524284E7</v>
      </c>
      <c r="E312" s="20">
        <v>1706126.0</v>
      </c>
      <c r="F312" s="20">
        <v>3.661434028007E12</v>
      </c>
      <c r="G312" s="8"/>
      <c r="I312" s="21"/>
      <c r="J312" s="21"/>
      <c r="K312" s="12">
        <f t="shared" si="17"/>
        <v>0</v>
      </c>
    </row>
    <row r="313" ht="8.25" customHeight="1">
      <c r="B313" s="21"/>
      <c r="C313" s="21"/>
      <c r="D313" s="21"/>
      <c r="E313" s="21"/>
      <c r="F313" s="21"/>
      <c r="G313" s="8"/>
      <c r="I313" s="24">
        <v>15.28</v>
      </c>
      <c r="J313" s="24">
        <v>25.9</v>
      </c>
      <c r="K313" s="12">
        <f t="shared" si="17"/>
        <v>14.46252</v>
      </c>
    </row>
    <row r="314" ht="5.25" customHeight="1">
      <c r="B314" s="19" t="s">
        <v>206</v>
      </c>
      <c r="C314" s="20">
        <v>200.0</v>
      </c>
      <c r="D314" s="20">
        <v>6.5242864E7</v>
      </c>
      <c r="E314" s="20">
        <v>2133792.0</v>
      </c>
      <c r="F314" s="20">
        <v>3.661434028199E12</v>
      </c>
      <c r="G314" s="8"/>
      <c r="I314" s="21"/>
      <c r="J314" s="21"/>
      <c r="K314" s="12">
        <f t="shared" si="17"/>
        <v>0</v>
      </c>
    </row>
    <row r="315" ht="8.25" customHeight="1">
      <c r="B315" s="21"/>
      <c r="C315" s="21"/>
      <c r="D315" s="21"/>
      <c r="E315" s="21"/>
      <c r="F315" s="21"/>
      <c r="G315" s="8"/>
      <c r="I315" s="24">
        <v>15.28</v>
      </c>
      <c r="J315" s="24">
        <v>25.9</v>
      </c>
      <c r="K315" s="12">
        <f t="shared" si="17"/>
        <v>14.46252</v>
      </c>
    </row>
    <row r="316" ht="5.25" customHeight="1">
      <c r="B316" s="19" t="s">
        <v>207</v>
      </c>
      <c r="C316" s="20">
        <v>200.0</v>
      </c>
      <c r="D316" s="20">
        <v>6.5242863E7</v>
      </c>
      <c r="E316" s="20">
        <v>1863034.0</v>
      </c>
      <c r="F316" s="20">
        <v>3.661434028205E12</v>
      </c>
      <c r="G316" s="8"/>
      <c r="I316" s="21"/>
      <c r="J316" s="21"/>
      <c r="K316" s="12">
        <f t="shared" si="17"/>
        <v>0</v>
      </c>
    </row>
    <row r="317" ht="8.25" customHeight="1">
      <c r="B317" s="21"/>
      <c r="C317" s="21"/>
      <c r="D317" s="21"/>
      <c r="E317" s="21"/>
      <c r="F317" s="21"/>
      <c r="G317" s="8"/>
      <c r="I317" s="24">
        <v>15.28</v>
      </c>
      <c r="J317" s="24">
        <v>25.9</v>
      </c>
      <c r="K317" s="12">
        <f t="shared" si="17"/>
        <v>14.46252</v>
      </c>
    </row>
    <row r="318" ht="5.25" customHeight="1">
      <c r="B318" s="19" t="s">
        <v>208</v>
      </c>
      <c r="C318" s="27">
        <v>18.0</v>
      </c>
      <c r="D318" s="20">
        <v>6.5221589E7</v>
      </c>
      <c r="E318" s="20">
        <v>2038271.0</v>
      </c>
      <c r="F318" s="20">
        <v>3.661434014123E12</v>
      </c>
      <c r="G318" s="8"/>
      <c r="I318" s="21"/>
      <c r="J318" s="21"/>
      <c r="K318" s="12">
        <f t="shared" si="17"/>
        <v>0</v>
      </c>
    </row>
    <row r="319" ht="8.25" customHeight="1">
      <c r="B319" s="21"/>
      <c r="C319" s="21"/>
      <c r="D319" s="21"/>
      <c r="E319" s="21"/>
      <c r="F319" s="21"/>
      <c r="G319" s="8"/>
      <c r="I319" s="24">
        <v>9.29</v>
      </c>
      <c r="J319" s="24">
        <v>15.75</v>
      </c>
      <c r="K319" s="12">
        <f t="shared" si="17"/>
        <v>8.792985</v>
      </c>
    </row>
    <row r="320" ht="5.25" customHeight="1">
      <c r="B320" s="83" t="s">
        <v>209</v>
      </c>
      <c r="C320" s="84"/>
      <c r="D320" s="84"/>
      <c r="E320" s="85"/>
      <c r="F320" s="45"/>
      <c r="G320" s="8"/>
      <c r="I320" s="21"/>
      <c r="J320" s="21"/>
      <c r="K320" s="12">
        <f t="shared" si="17"/>
        <v>0</v>
      </c>
    </row>
    <row r="321" ht="9.0" customHeight="1">
      <c r="B321" s="21"/>
      <c r="C321" s="21"/>
      <c r="D321" s="21"/>
      <c r="E321" s="25"/>
      <c r="F321" s="50"/>
      <c r="G321" s="8"/>
      <c r="I321" s="82"/>
      <c r="J321" s="36"/>
      <c r="K321" s="12">
        <f t="shared" si="17"/>
        <v>0</v>
      </c>
    </row>
    <row r="322" ht="5.25" customHeight="1">
      <c r="B322" s="19" t="s">
        <v>210</v>
      </c>
      <c r="C322" s="20">
        <v>150.0</v>
      </c>
      <c r="D322" s="20">
        <v>6.5242858E7</v>
      </c>
      <c r="E322" s="20">
        <v>3766401.0</v>
      </c>
      <c r="F322" s="20">
        <v>3.66143402812E12</v>
      </c>
      <c r="G322" s="8"/>
      <c r="I322" s="8"/>
      <c r="J322" s="8"/>
      <c r="K322" s="12">
        <f t="shared" si="17"/>
        <v>0</v>
      </c>
    </row>
    <row r="323" ht="9.0" customHeight="1">
      <c r="B323" s="21"/>
      <c r="C323" s="21"/>
      <c r="D323" s="21"/>
      <c r="E323" s="21"/>
      <c r="F323" s="21"/>
      <c r="G323" s="8"/>
      <c r="I323" s="16">
        <v>9.97</v>
      </c>
      <c r="J323" s="16">
        <v>16.9</v>
      </c>
      <c r="K323" s="12">
        <f t="shared" si="17"/>
        <v>9.436605</v>
      </c>
    </row>
    <row r="324" ht="5.25" customHeight="1">
      <c r="B324" s="81" t="s">
        <v>211</v>
      </c>
      <c r="C324" s="44"/>
      <c r="D324" s="44"/>
      <c r="E324" s="44"/>
      <c r="F324" s="45"/>
      <c r="G324" s="8"/>
      <c r="I324" s="8"/>
      <c r="J324" s="8"/>
      <c r="K324" s="12">
        <f t="shared" si="17"/>
        <v>0</v>
      </c>
    </row>
    <row r="325" ht="9.0" customHeight="1">
      <c r="B325" s="25"/>
      <c r="C325" s="49"/>
      <c r="D325" s="49"/>
      <c r="E325" s="49"/>
      <c r="F325" s="50"/>
      <c r="G325" s="8"/>
      <c r="I325" s="82"/>
      <c r="J325" s="36"/>
      <c r="K325" s="12">
        <f t="shared" si="17"/>
        <v>0</v>
      </c>
    </row>
    <row r="326" ht="5.25" customHeight="1">
      <c r="B326" s="19" t="s">
        <v>212</v>
      </c>
      <c r="C326" s="20">
        <v>100.0</v>
      </c>
      <c r="D326" s="20">
        <v>6.5242861E7</v>
      </c>
      <c r="E326" s="20">
        <v>3282031.0</v>
      </c>
      <c r="F326" s="20">
        <v>3.661434028151E12</v>
      </c>
      <c r="G326" s="8"/>
      <c r="I326" s="8"/>
      <c r="J326" s="8"/>
      <c r="K326" s="12">
        <f t="shared" si="17"/>
        <v>0</v>
      </c>
    </row>
    <row r="327" ht="9.0" customHeight="1">
      <c r="B327" s="21"/>
      <c r="C327" s="21"/>
      <c r="D327" s="21"/>
      <c r="E327" s="21"/>
      <c r="F327" s="21"/>
      <c r="G327" s="8"/>
      <c r="I327" s="16">
        <v>12.74</v>
      </c>
      <c r="J327" s="16">
        <v>21.6</v>
      </c>
      <c r="K327" s="12">
        <f t="shared" si="17"/>
        <v>12.05841</v>
      </c>
    </row>
    <row r="328" ht="5.25" customHeight="1">
      <c r="B328" s="86" t="s">
        <v>213</v>
      </c>
      <c r="C328" s="44"/>
      <c r="D328" s="44"/>
      <c r="E328" s="44"/>
      <c r="F328" s="45"/>
      <c r="G328" s="8"/>
      <c r="I328" s="8"/>
      <c r="J328" s="8"/>
      <c r="K328" s="12">
        <f t="shared" si="17"/>
        <v>0</v>
      </c>
    </row>
    <row r="329" ht="9.0" customHeight="1">
      <c r="B329" s="25"/>
      <c r="C329" s="49"/>
      <c r="D329" s="49"/>
      <c r="E329" s="49"/>
      <c r="F329" s="50"/>
      <c r="G329" s="8"/>
      <c r="I329" s="87"/>
      <c r="J329" s="36"/>
      <c r="K329" s="12">
        <f t="shared" si="17"/>
        <v>0</v>
      </c>
    </row>
    <row r="330" ht="5.25" customHeight="1">
      <c r="B330" s="19" t="s">
        <v>214</v>
      </c>
      <c r="C330" s="20">
        <v>100.0</v>
      </c>
      <c r="D330" s="20">
        <v>6.5182737E7</v>
      </c>
      <c r="E330" s="20">
        <v>1779434.0</v>
      </c>
      <c r="F330" s="20">
        <v>3.661434009372E12</v>
      </c>
      <c r="G330" s="8"/>
      <c r="I330" s="8"/>
      <c r="J330" s="8"/>
      <c r="K330" s="12">
        <f t="shared" si="17"/>
        <v>0</v>
      </c>
    </row>
    <row r="331" ht="9.0" customHeight="1">
      <c r="B331" s="21"/>
      <c r="C331" s="21"/>
      <c r="D331" s="21"/>
      <c r="E331" s="21"/>
      <c r="F331" s="21"/>
      <c r="G331" s="8"/>
      <c r="I331" s="16">
        <v>3.48</v>
      </c>
      <c r="J331" s="16">
        <v>5.9</v>
      </c>
      <c r="K331" s="12">
        <f t="shared" si="17"/>
        <v>3.29382</v>
      </c>
    </row>
    <row r="332" ht="5.25" customHeight="1">
      <c r="B332" s="19" t="s">
        <v>215</v>
      </c>
      <c r="C332" s="20">
        <v>100.0</v>
      </c>
      <c r="D332" s="20">
        <v>6.5218957E7</v>
      </c>
      <c r="E332" s="20">
        <v>1779397.0</v>
      </c>
      <c r="F332" s="20">
        <v>3.661434009204E12</v>
      </c>
      <c r="G332" s="8"/>
      <c r="I332" s="8"/>
      <c r="J332" s="8"/>
      <c r="K332" s="12">
        <f t="shared" si="17"/>
        <v>0</v>
      </c>
    </row>
    <row r="333" ht="9.0" customHeight="1">
      <c r="B333" s="21"/>
      <c r="C333" s="21"/>
      <c r="D333" s="21"/>
      <c r="E333" s="21"/>
      <c r="F333" s="21"/>
      <c r="G333" s="8"/>
      <c r="I333" s="16">
        <v>3.48</v>
      </c>
      <c r="J333" s="16">
        <v>5.9</v>
      </c>
      <c r="K333" s="12">
        <f t="shared" si="17"/>
        <v>3.29382</v>
      </c>
    </row>
    <row r="334" ht="5.25" customHeight="1">
      <c r="B334" s="19" t="s">
        <v>216</v>
      </c>
      <c r="C334" s="20">
        <v>100.0</v>
      </c>
      <c r="D334" s="20">
        <v>6.5183057E7</v>
      </c>
      <c r="E334" s="20">
        <v>1779410.0</v>
      </c>
      <c r="F334" s="20">
        <v>3.661434009341E12</v>
      </c>
      <c r="G334" s="8"/>
      <c r="I334" s="8"/>
      <c r="J334" s="8"/>
      <c r="K334" s="12">
        <f t="shared" si="17"/>
        <v>0</v>
      </c>
    </row>
    <row r="335" ht="8.25" customHeight="1">
      <c r="B335" s="21"/>
      <c r="C335" s="21"/>
      <c r="D335" s="21"/>
      <c r="E335" s="21"/>
      <c r="F335" s="21"/>
      <c r="G335" s="8"/>
      <c r="I335" s="24">
        <v>3.48</v>
      </c>
      <c r="J335" s="24">
        <v>5.9</v>
      </c>
      <c r="K335" s="12">
        <f t="shared" si="17"/>
        <v>3.29382</v>
      </c>
    </row>
    <row r="336" ht="5.25" customHeight="1">
      <c r="B336" s="8"/>
      <c r="C336" s="8"/>
      <c r="D336" s="8"/>
      <c r="E336" s="8"/>
      <c r="F336" s="8"/>
      <c r="G336" s="8"/>
      <c r="I336" s="21"/>
      <c r="J336" s="21"/>
      <c r="K336" s="12">
        <f t="shared" si="17"/>
        <v>0</v>
      </c>
    </row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989">
    <mergeCell ref="A1:K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B17:B18"/>
    <mergeCell ref="C17:C18"/>
    <mergeCell ref="D17:D18"/>
    <mergeCell ref="E17:E18"/>
    <mergeCell ref="F17:F18"/>
    <mergeCell ref="D21:D22"/>
    <mergeCell ref="E21:E22"/>
    <mergeCell ref="H17:I17"/>
    <mergeCell ref="H18:I19"/>
    <mergeCell ref="J18:J19"/>
    <mergeCell ref="H20:I21"/>
    <mergeCell ref="J20:J21"/>
    <mergeCell ref="H22:I23"/>
    <mergeCell ref="J22:J23"/>
    <mergeCell ref="C25:C26"/>
    <mergeCell ref="D25:D26"/>
    <mergeCell ref="H24:I25"/>
    <mergeCell ref="J24:J25"/>
    <mergeCell ref="H26:I26"/>
    <mergeCell ref="H27:I27"/>
    <mergeCell ref="H28:I28"/>
    <mergeCell ref="H29:I29"/>
    <mergeCell ref="J30:J31"/>
    <mergeCell ref="E33:E34"/>
    <mergeCell ref="F33:F34"/>
    <mergeCell ref="E35:E36"/>
    <mergeCell ref="F35:F36"/>
    <mergeCell ref="E37:E38"/>
    <mergeCell ref="F37:F38"/>
    <mergeCell ref="C33:C34"/>
    <mergeCell ref="D33:D34"/>
    <mergeCell ref="B35:B36"/>
    <mergeCell ref="C35:C36"/>
    <mergeCell ref="D35:D36"/>
    <mergeCell ref="C37:C38"/>
    <mergeCell ref="D37:D38"/>
    <mergeCell ref="E43:E44"/>
    <mergeCell ref="F43:F44"/>
    <mergeCell ref="B37:B38"/>
    <mergeCell ref="B41:B42"/>
    <mergeCell ref="C41:C42"/>
    <mergeCell ref="D41:D42"/>
    <mergeCell ref="E41:E42"/>
    <mergeCell ref="F41:F42"/>
    <mergeCell ref="B43:B44"/>
    <mergeCell ref="B19:B20"/>
    <mergeCell ref="C19:C20"/>
    <mergeCell ref="D19:D20"/>
    <mergeCell ref="E19:E20"/>
    <mergeCell ref="F19:F20"/>
    <mergeCell ref="C21:C22"/>
    <mergeCell ref="F21:F22"/>
    <mergeCell ref="E25:E26"/>
    <mergeCell ref="F25:F26"/>
    <mergeCell ref="B21:B22"/>
    <mergeCell ref="B23:B24"/>
    <mergeCell ref="C23:C24"/>
    <mergeCell ref="D23:D24"/>
    <mergeCell ref="E23:E24"/>
    <mergeCell ref="F23:F24"/>
    <mergeCell ref="B25:B26"/>
    <mergeCell ref="D29:D30"/>
    <mergeCell ref="E29:E30"/>
    <mergeCell ref="B27:B28"/>
    <mergeCell ref="C27:C28"/>
    <mergeCell ref="D27:D28"/>
    <mergeCell ref="E27:E28"/>
    <mergeCell ref="F27:F28"/>
    <mergeCell ref="C29:C30"/>
    <mergeCell ref="F29:F30"/>
    <mergeCell ref="B29:B30"/>
    <mergeCell ref="B31:B32"/>
    <mergeCell ref="C31:C32"/>
    <mergeCell ref="D31:D32"/>
    <mergeCell ref="E31:E32"/>
    <mergeCell ref="F31:F32"/>
    <mergeCell ref="B33:B34"/>
    <mergeCell ref="C43:C44"/>
    <mergeCell ref="D43:D44"/>
    <mergeCell ref="B45:B46"/>
    <mergeCell ref="C45:C46"/>
    <mergeCell ref="D45:D46"/>
    <mergeCell ref="E45:E46"/>
    <mergeCell ref="F45:F46"/>
    <mergeCell ref="E65:E66"/>
    <mergeCell ref="F65:F66"/>
    <mergeCell ref="E67:E68"/>
    <mergeCell ref="F67:F68"/>
    <mergeCell ref="E69:E70"/>
    <mergeCell ref="F69:F70"/>
    <mergeCell ref="C65:C66"/>
    <mergeCell ref="D65:D66"/>
    <mergeCell ref="B67:B68"/>
    <mergeCell ref="C67:C68"/>
    <mergeCell ref="D67:D68"/>
    <mergeCell ref="C69:C70"/>
    <mergeCell ref="D69:D70"/>
    <mergeCell ref="E75:E76"/>
    <mergeCell ref="F75:F76"/>
    <mergeCell ref="B69:B70"/>
    <mergeCell ref="B71:B72"/>
    <mergeCell ref="C71:C72"/>
    <mergeCell ref="D71:D72"/>
    <mergeCell ref="E71:E72"/>
    <mergeCell ref="F71:F72"/>
    <mergeCell ref="B75:B76"/>
    <mergeCell ref="H74:I74"/>
    <mergeCell ref="H75:I75"/>
    <mergeCell ref="H76:I77"/>
    <mergeCell ref="J76:J77"/>
    <mergeCell ref="H78:I79"/>
    <mergeCell ref="J78:J79"/>
    <mergeCell ref="H80:I80"/>
    <mergeCell ref="H82:I82"/>
    <mergeCell ref="H83:I83"/>
    <mergeCell ref="H84:I85"/>
    <mergeCell ref="J84:J85"/>
    <mergeCell ref="H86:I86"/>
    <mergeCell ref="H81:J81"/>
    <mergeCell ref="F194:F195"/>
    <mergeCell ref="B196:F197"/>
    <mergeCell ref="B206:F207"/>
    <mergeCell ref="B223:F223"/>
    <mergeCell ref="B228:F228"/>
    <mergeCell ref="B233:F233"/>
    <mergeCell ref="B239:F239"/>
    <mergeCell ref="B240:F240"/>
    <mergeCell ref="E241:E242"/>
    <mergeCell ref="F241:F242"/>
    <mergeCell ref="E243:E244"/>
    <mergeCell ref="F243:F244"/>
    <mergeCell ref="E246:E247"/>
    <mergeCell ref="F246:F247"/>
    <mergeCell ref="E248:E249"/>
    <mergeCell ref="F248:F249"/>
    <mergeCell ref="E250:E251"/>
    <mergeCell ref="F250:F251"/>
    <mergeCell ref="E252:E253"/>
    <mergeCell ref="F252:F253"/>
    <mergeCell ref="E255:E256"/>
    <mergeCell ref="E267:E268"/>
    <mergeCell ref="E269:E270"/>
    <mergeCell ref="E272:E273"/>
    <mergeCell ref="F269:F270"/>
    <mergeCell ref="F272:F273"/>
    <mergeCell ref="E258:E259"/>
    <mergeCell ref="F258:F259"/>
    <mergeCell ref="E260:E261"/>
    <mergeCell ref="F260:F261"/>
    <mergeCell ref="E262:E263"/>
    <mergeCell ref="F262:F263"/>
    <mergeCell ref="F267:F268"/>
    <mergeCell ref="E131:E132"/>
    <mergeCell ref="E134:E135"/>
    <mergeCell ref="F134:F135"/>
    <mergeCell ref="B136:F136"/>
    <mergeCell ref="E137:E138"/>
    <mergeCell ref="F137:F138"/>
    <mergeCell ref="E139:E140"/>
    <mergeCell ref="F139:F140"/>
    <mergeCell ref="B141:F142"/>
    <mergeCell ref="B147:F147"/>
    <mergeCell ref="B148:F148"/>
    <mergeCell ref="E149:E150"/>
    <mergeCell ref="F149:F150"/>
    <mergeCell ref="F151:F152"/>
    <mergeCell ref="E151:E152"/>
    <mergeCell ref="E153:E154"/>
    <mergeCell ref="F153:F154"/>
    <mergeCell ref="E155:E156"/>
    <mergeCell ref="F155:F156"/>
    <mergeCell ref="F157:F158"/>
    <mergeCell ref="B159:F159"/>
    <mergeCell ref="E157:E158"/>
    <mergeCell ref="E160:E161"/>
    <mergeCell ref="F160:F161"/>
    <mergeCell ref="E162:E163"/>
    <mergeCell ref="F162:F163"/>
    <mergeCell ref="E164:E165"/>
    <mergeCell ref="F164:F165"/>
    <mergeCell ref="E166:E167"/>
    <mergeCell ref="F166:F167"/>
    <mergeCell ref="E168:E169"/>
    <mergeCell ref="F168:F169"/>
    <mergeCell ref="B170:F171"/>
    <mergeCell ref="B172:F172"/>
    <mergeCell ref="F173:F174"/>
    <mergeCell ref="E173:E174"/>
    <mergeCell ref="E175:E176"/>
    <mergeCell ref="F175:F176"/>
    <mergeCell ref="E177:E178"/>
    <mergeCell ref="F177:F178"/>
    <mergeCell ref="B179:F179"/>
    <mergeCell ref="F180:F181"/>
    <mergeCell ref="F255:F256"/>
    <mergeCell ref="B257:F257"/>
    <mergeCell ref="B271:F271"/>
    <mergeCell ref="B274:F275"/>
    <mergeCell ref="B276:F277"/>
    <mergeCell ref="B278:F278"/>
    <mergeCell ref="F279:F280"/>
    <mergeCell ref="E310:E311"/>
    <mergeCell ref="F310:F311"/>
    <mergeCell ref="D306:D307"/>
    <mergeCell ref="E306:E307"/>
    <mergeCell ref="F306:F307"/>
    <mergeCell ref="D308:D309"/>
    <mergeCell ref="E308:E309"/>
    <mergeCell ref="F308:F309"/>
    <mergeCell ref="D310:D311"/>
    <mergeCell ref="E316:E317"/>
    <mergeCell ref="F316:F317"/>
    <mergeCell ref="D312:D313"/>
    <mergeCell ref="E312:E313"/>
    <mergeCell ref="F312:F313"/>
    <mergeCell ref="D314:D315"/>
    <mergeCell ref="E314:E315"/>
    <mergeCell ref="F314:F315"/>
    <mergeCell ref="D316:D317"/>
    <mergeCell ref="E330:E331"/>
    <mergeCell ref="F330:F331"/>
    <mergeCell ref="D332:D333"/>
    <mergeCell ref="E332:E333"/>
    <mergeCell ref="F332:F333"/>
    <mergeCell ref="D334:D335"/>
    <mergeCell ref="E334:E335"/>
    <mergeCell ref="F334:F335"/>
    <mergeCell ref="F322:F323"/>
    <mergeCell ref="B324:F325"/>
    <mergeCell ref="D326:D327"/>
    <mergeCell ref="E326:E327"/>
    <mergeCell ref="F326:F327"/>
    <mergeCell ref="B328:F329"/>
    <mergeCell ref="D330:D331"/>
    <mergeCell ref="E279:E280"/>
    <mergeCell ref="E281:E282"/>
    <mergeCell ref="F281:F282"/>
    <mergeCell ref="E283:E284"/>
    <mergeCell ref="F283:F284"/>
    <mergeCell ref="E285:E286"/>
    <mergeCell ref="F285:F286"/>
    <mergeCell ref="E292:E293"/>
    <mergeCell ref="F292:F293"/>
    <mergeCell ref="E287:E288"/>
    <mergeCell ref="F287:F288"/>
    <mergeCell ref="B289:F289"/>
    <mergeCell ref="D290:D291"/>
    <mergeCell ref="E290:E291"/>
    <mergeCell ref="F290:F291"/>
    <mergeCell ref="B294:F295"/>
    <mergeCell ref="D292:D293"/>
    <mergeCell ref="D296:D297"/>
    <mergeCell ref="E296:E297"/>
    <mergeCell ref="F296:F297"/>
    <mergeCell ref="D298:D299"/>
    <mergeCell ref="E298:E299"/>
    <mergeCell ref="F298:F299"/>
    <mergeCell ref="E304:E305"/>
    <mergeCell ref="F304:F305"/>
    <mergeCell ref="D300:D301"/>
    <mergeCell ref="E300:E301"/>
    <mergeCell ref="F300:F301"/>
    <mergeCell ref="D302:D303"/>
    <mergeCell ref="E302:E303"/>
    <mergeCell ref="F302:F303"/>
    <mergeCell ref="D304:D305"/>
    <mergeCell ref="D318:D319"/>
    <mergeCell ref="E318:E319"/>
    <mergeCell ref="F318:F319"/>
    <mergeCell ref="D320:D321"/>
    <mergeCell ref="E320:F321"/>
    <mergeCell ref="D322:D323"/>
    <mergeCell ref="E322:E323"/>
    <mergeCell ref="C75:C76"/>
    <mergeCell ref="D75:D76"/>
    <mergeCell ref="B77:B78"/>
    <mergeCell ref="C77:C78"/>
    <mergeCell ref="D77:D78"/>
    <mergeCell ref="E77:E78"/>
    <mergeCell ref="F77:F78"/>
    <mergeCell ref="B79:B80"/>
    <mergeCell ref="C79:C80"/>
    <mergeCell ref="D79:D80"/>
    <mergeCell ref="E79:E80"/>
    <mergeCell ref="F79:F80"/>
    <mergeCell ref="B81:F82"/>
    <mergeCell ref="E87:E88"/>
    <mergeCell ref="F87:F88"/>
    <mergeCell ref="B83:B84"/>
    <mergeCell ref="C83:C84"/>
    <mergeCell ref="D83:D84"/>
    <mergeCell ref="E83:E84"/>
    <mergeCell ref="F83:F84"/>
    <mergeCell ref="B85:F86"/>
    <mergeCell ref="B87:B88"/>
    <mergeCell ref="D53:D54"/>
    <mergeCell ref="E53:E54"/>
    <mergeCell ref="B47:B48"/>
    <mergeCell ref="C47:C48"/>
    <mergeCell ref="D47:D48"/>
    <mergeCell ref="E47:E48"/>
    <mergeCell ref="F47:F48"/>
    <mergeCell ref="C53:C54"/>
    <mergeCell ref="F53:F54"/>
    <mergeCell ref="E57:E58"/>
    <mergeCell ref="F57:F58"/>
    <mergeCell ref="E59:E60"/>
    <mergeCell ref="F59:F60"/>
    <mergeCell ref="E61:E62"/>
    <mergeCell ref="F61:F62"/>
    <mergeCell ref="B53:B54"/>
    <mergeCell ref="B55:B56"/>
    <mergeCell ref="C55:C56"/>
    <mergeCell ref="D55:D56"/>
    <mergeCell ref="E55:E56"/>
    <mergeCell ref="F55:F56"/>
    <mergeCell ref="B57:B58"/>
    <mergeCell ref="C57:C58"/>
    <mergeCell ref="D57:D58"/>
    <mergeCell ref="B59:B60"/>
    <mergeCell ref="C59:C60"/>
    <mergeCell ref="D59:D60"/>
    <mergeCell ref="C61:C62"/>
    <mergeCell ref="D61:D62"/>
    <mergeCell ref="B61:B62"/>
    <mergeCell ref="B63:B64"/>
    <mergeCell ref="C63:C64"/>
    <mergeCell ref="D63:D64"/>
    <mergeCell ref="E63:E64"/>
    <mergeCell ref="F63:F64"/>
    <mergeCell ref="B65:B66"/>
    <mergeCell ref="C87:C88"/>
    <mergeCell ref="D87:D88"/>
    <mergeCell ref="B89:B90"/>
    <mergeCell ref="C89:C90"/>
    <mergeCell ref="D89:D90"/>
    <mergeCell ref="E89:E90"/>
    <mergeCell ref="F89:F90"/>
    <mergeCell ref="B99:F100"/>
    <mergeCell ref="B101:F102"/>
    <mergeCell ref="C103:C104"/>
    <mergeCell ref="D103:D104"/>
    <mergeCell ref="E103:E104"/>
    <mergeCell ref="F103:F104"/>
    <mergeCell ref="B105:F106"/>
    <mergeCell ref="B103:B104"/>
    <mergeCell ref="B107:B108"/>
    <mergeCell ref="C107:C108"/>
    <mergeCell ref="D107:D108"/>
    <mergeCell ref="E107:E108"/>
    <mergeCell ref="F107:F108"/>
    <mergeCell ref="B109:B110"/>
    <mergeCell ref="D93:D94"/>
    <mergeCell ref="E93:E94"/>
    <mergeCell ref="B91:B92"/>
    <mergeCell ref="C91:C92"/>
    <mergeCell ref="D91:D92"/>
    <mergeCell ref="E91:E92"/>
    <mergeCell ref="F91:F92"/>
    <mergeCell ref="C93:C94"/>
    <mergeCell ref="F93:F94"/>
    <mergeCell ref="C97:C98"/>
    <mergeCell ref="D97:D98"/>
    <mergeCell ref="E97:E98"/>
    <mergeCell ref="F97:F98"/>
    <mergeCell ref="B93:B94"/>
    <mergeCell ref="B95:B96"/>
    <mergeCell ref="C95:C96"/>
    <mergeCell ref="D95:D96"/>
    <mergeCell ref="E95:E96"/>
    <mergeCell ref="F95:F96"/>
    <mergeCell ref="B97:B98"/>
    <mergeCell ref="E109:E110"/>
    <mergeCell ref="F109:F110"/>
    <mergeCell ref="E111:E112"/>
    <mergeCell ref="F111:F112"/>
    <mergeCell ref="B115:F115"/>
    <mergeCell ref="B116:F116"/>
    <mergeCell ref="B121:F121"/>
    <mergeCell ref="C127:C128"/>
    <mergeCell ref="D127:D128"/>
    <mergeCell ref="E127:E128"/>
    <mergeCell ref="F127:F128"/>
    <mergeCell ref="E129:E130"/>
    <mergeCell ref="F129:F130"/>
    <mergeCell ref="F131:F132"/>
    <mergeCell ref="B129:B130"/>
    <mergeCell ref="C129:C130"/>
    <mergeCell ref="B127:B128"/>
    <mergeCell ref="B131:B132"/>
    <mergeCell ref="C131:C132"/>
    <mergeCell ref="D131:D132"/>
    <mergeCell ref="B134:B135"/>
    <mergeCell ref="C134:C135"/>
    <mergeCell ref="D134:D135"/>
    <mergeCell ref="B137:B138"/>
    <mergeCell ref="C137:C138"/>
    <mergeCell ref="D137:D138"/>
    <mergeCell ref="B139:B140"/>
    <mergeCell ref="C139:C140"/>
    <mergeCell ref="B151:B152"/>
    <mergeCell ref="C151:C152"/>
    <mergeCell ref="E180:E181"/>
    <mergeCell ref="E182:E183"/>
    <mergeCell ref="F182:F183"/>
    <mergeCell ref="E184:E185"/>
    <mergeCell ref="F184:F185"/>
    <mergeCell ref="E186:E187"/>
    <mergeCell ref="F186:F187"/>
    <mergeCell ref="E188:E189"/>
    <mergeCell ref="F188:F189"/>
    <mergeCell ref="E190:E191"/>
    <mergeCell ref="F190:F191"/>
    <mergeCell ref="E192:E193"/>
    <mergeCell ref="F192:F193"/>
    <mergeCell ref="E194:E195"/>
    <mergeCell ref="E198:E199"/>
    <mergeCell ref="F198:F199"/>
    <mergeCell ref="E200:E201"/>
    <mergeCell ref="F200:F201"/>
    <mergeCell ref="E202:E203"/>
    <mergeCell ref="F202:F203"/>
    <mergeCell ref="F204:F205"/>
    <mergeCell ref="E214:E215"/>
    <mergeCell ref="F214:F215"/>
    <mergeCell ref="E216:E217"/>
    <mergeCell ref="F216:F217"/>
    <mergeCell ref="E218:E219"/>
    <mergeCell ref="F218:F219"/>
    <mergeCell ref="E220:E221"/>
    <mergeCell ref="F220:F221"/>
    <mergeCell ref="E204:E205"/>
    <mergeCell ref="E208:E209"/>
    <mergeCell ref="F208:F209"/>
    <mergeCell ref="E210:E211"/>
    <mergeCell ref="F210:F211"/>
    <mergeCell ref="E212:E213"/>
    <mergeCell ref="F212:F213"/>
    <mergeCell ref="B262:B263"/>
    <mergeCell ref="C262:C263"/>
    <mergeCell ref="B267:B268"/>
    <mergeCell ref="C267:C268"/>
    <mergeCell ref="B269:B270"/>
    <mergeCell ref="C269:C270"/>
    <mergeCell ref="B272:B273"/>
    <mergeCell ref="C272:C273"/>
    <mergeCell ref="B279:B280"/>
    <mergeCell ref="C279:C280"/>
    <mergeCell ref="B281:B282"/>
    <mergeCell ref="C281:C282"/>
    <mergeCell ref="B283:B284"/>
    <mergeCell ref="C283:C284"/>
    <mergeCell ref="B285:B286"/>
    <mergeCell ref="C285:C286"/>
    <mergeCell ref="B287:B288"/>
    <mergeCell ref="C287:C288"/>
    <mergeCell ref="B290:B291"/>
    <mergeCell ref="C290:C291"/>
    <mergeCell ref="B292:B293"/>
    <mergeCell ref="C292:C293"/>
    <mergeCell ref="B296:B297"/>
    <mergeCell ref="C296:C297"/>
    <mergeCell ref="B298:B299"/>
    <mergeCell ref="C298:C299"/>
    <mergeCell ref="B300:B301"/>
    <mergeCell ref="C300:C301"/>
    <mergeCell ref="B302:B303"/>
    <mergeCell ref="C302:C303"/>
    <mergeCell ref="B304:B305"/>
    <mergeCell ref="C304:C305"/>
    <mergeCell ref="B306:B307"/>
    <mergeCell ref="C306:C307"/>
    <mergeCell ref="B308:B309"/>
    <mergeCell ref="C308:C309"/>
    <mergeCell ref="B310:B311"/>
    <mergeCell ref="C310:C311"/>
    <mergeCell ref="B312:B313"/>
    <mergeCell ref="C312:C313"/>
    <mergeCell ref="B314:B315"/>
    <mergeCell ref="C314:C315"/>
    <mergeCell ref="B334:B335"/>
    <mergeCell ref="C334:C335"/>
    <mergeCell ref="B220:B221"/>
    <mergeCell ref="C220:C221"/>
    <mergeCell ref="A222:A336"/>
    <mergeCell ref="B241:B242"/>
    <mergeCell ref="C241:C242"/>
    <mergeCell ref="B243:B244"/>
    <mergeCell ref="C243:C244"/>
    <mergeCell ref="B316:B317"/>
    <mergeCell ref="C316:C317"/>
    <mergeCell ref="B318:B319"/>
    <mergeCell ref="C318:C319"/>
    <mergeCell ref="B320:B321"/>
    <mergeCell ref="C320:C321"/>
    <mergeCell ref="B322:B323"/>
    <mergeCell ref="C322:C323"/>
    <mergeCell ref="B326:B327"/>
    <mergeCell ref="C326:C327"/>
    <mergeCell ref="B330:B331"/>
    <mergeCell ref="C330:C331"/>
    <mergeCell ref="B332:B333"/>
    <mergeCell ref="C332:C333"/>
    <mergeCell ref="D151:D152"/>
    <mergeCell ref="B153:B154"/>
    <mergeCell ref="C153:C154"/>
    <mergeCell ref="D153:D154"/>
    <mergeCell ref="B155:B156"/>
    <mergeCell ref="C155:C156"/>
    <mergeCell ref="D155:D156"/>
    <mergeCell ref="B157:B158"/>
    <mergeCell ref="C157:C158"/>
    <mergeCell ref="D157:D158"/>
    <mergeCell ref="B160:B161"/>
    <mergeCell ref="C160:C161"/>
    <mergeCell ref="D160:D161"/>
    <mergeCell ref="B162:B163"/>
    <mergeCell ref="C162:C163"/>
    <mergeCell ref="D162:D163"/>
    <mergeCell ref="B164:B165"/>
    <mergeCell ref="C164:C165"/>
    <mergeCell ref="D164:D165"/>
    <mergeCell ref="B166:B167"/>
    <mergeCell ref="C166:C167"/>
    <mergeCell ref="D166:D167"/>
    <mergeCell ref="B168:B169"/>
    <mergeCell ref="C168:C169"/>
    <mergeCell ref="D168:D169"/>
    <mergeCell ref="B173:B174"/>
    <mergeCell ref="C173:C174"/>
    <mergeCell ref="D173:D174"/>
    <mergeCell ref="B175:B176"/>
    <mergeCell ref="C175:C176"/>
    <mergeCell ref="D175:D176"/>
    <mergeCell ref="B177:B178"/>
    <mergeCell ref="C177:C178"/>
    <mergeCell ref="D177:D178"/>
    <mergeCell ref="B180:B181"/>
    <mergeCell ref="C180:C181"/>
    <mergeCell ref="D180:D181"/>
    <mergeCell ref="B182:B183"/>
    <mergeCell ref="C182:C183"/>
    <mergeCell ref="D182:D183"/>
    <mergeCell ref="B184:B185"/>
    <mergeCell ref="C184:C185"/>
    <mergeCell ref="D184:D185"/>
    <mergeCell ref="B186:B187"/>
    <mergeCell ref="C186:C187"/>
    <mergeCell ref="D186:D187"/>
    <mergeCell ref="B188:B189"/>
    <mergeCell ref="C188:C189"/>
    <mergeCell ref="D188:D189"/>
    <mergeCell ref="B190:B191"/>
    <mergeCell ref="C190:C191"/>
    <mergeCell ref="D190:D191"/>
    <mergeCell ref="B192:B193"/>
    <mergeCell ref="C192:C193"/>
    <mergeCell ref="D192:D193"/>
    <mergeCell ref="B194:B195"/>
    <mergeCell ref="C194:C195"/>
    <mergeCell ref="D194:D195"/>
    <mergeCell ref="B198:B199"/>
    <mergeCell ref="C198:C199"/>
    <mergeCell ref="D198:D199"/>
    <mergeCell ref="B200:B201"/>
    <mergeCell ref="C200:C201"/>
    <mergeCell ref="D200:D201"/>
    <mergeCell ref="B202:B203"/>
    <mergeCell ref="C202:C203"/>
    <mergeCell ref="D202:D203"/>
    <mergeCell ref="B204:B205"/>
    <mergeCell ref="C204:C205"/>
    <mergeCell ref="D204:D205"/>
    <mergeCell ref="B208:B209"/>
    <mergeCell ref="C208:C209"/>
    <mergeCell ref="D208:D209"/>
    <mergeCell ref="B210:B211"/>
    <mergeCell ref="B246:B247"/>
    <mergeCell ref="C246:C247"/>
    <mergeCell ref="B248:B249"/>
    <mergeCell ref="C248:C249"/>
    <mergeCell ref="B250:B251"/>
    <mergeCell ref="C250:C251"/>
    <mergeCell ref="B252:B253"/>
    <mergeCell ref="C252:C253"/>
    <mergeCell ref="B255:B256"/>
    <mergeCell ref="C255:C256"/>
    <mergeCell ref="B258:B259"/>
    <mergeCell ref="C258:C259"/>
    <mergeCell ref="B260:B261"/>
    <mergeCell ref="C260:C261"/>
    <mergeCell ref="D272:D273"/>
    <mergeCell ref="D279:D280"/>
    <mergeCell ref="D281:D282"/>
    <mergeCell ref="D283:D284"/>
    <mergeCell ref="D285:D286"/>
    <mergeCell ref="D287:D288"/>
    <mergeCell ref="D252:D253"/>
    <mergeCell ref="D255:D256"/>
    <mergeCell ref="D258:D259"/>
    <mergeCell ref="D260:D261"/>
    <mergeCell ref="D262:D263"/>
    <mergeCell ref="D267:D268"/>
    <mergeCell ref="D269:D270"/>
    <mergeCell ref="D139:D140"/>
    <mergeCell ref="B149:B150"/>
    <mergeCell ref="C149:C150"/>
    <mergeCell ref="D149:D150"/>
    <mergeCell ref="B212:B213"/>
    <mergeCell ref="C212:C213"/>
    <mergeCell ref="D212:D213"/>
    <mergeCell ref="B214:B215"/>
    <mergeCell ref="C214:C215"/>
    <mergeCell ref="D214:D215"/>
    <mergeCell ref="B216:B217"/>
    <mergeCell ref="C216:C217"/>
    <mergeCell ref="D216:D217"/>
    <mergeCell ref="B218:B219"/>
    <mergeCell ref="C218:C219"/>
    <mergeCell ref="D218:D219"/>
    <mergeCell ref="C109:C110"/>
    <mergeCell ref="D109:D110"/>
    <mergeCell ref="B111:B112"/>
    <mergeCell ref="C111:C112"/>
    <mergeCell ref="D111:D112"/>
    <mergeCell ref="A114:A221"/>
    <mergeCell ref="D129:D130"/>
    <mergeCell ref="D220:D221"/>
    <mergeCell ref="C210:C211"/>
    <mergeCell ref="D210:D211"/>
    <mergeCell ref="D241:D242"/>
    <mergeCell ref="D243:D244"/>
    <mergeCell ref="D246:D247"/>
    <mergeCell ref="D248:D249"/>
    <mergeCell ref="D250:D251"/>
    <mergeCell ref="G323:H323"/>
    <mergeCell ref="G324:H324"/>
    <mergeCell ref="G325:H325"/>
    <mergeCell ref="I325:J325"/>
    <mergeCell ref="G326:H326"/>
    <mergeCell ref="G327:H327"/>
    <mergeCell ref="G328:H328"/>
    <mergeCell ref="G329:H329"/>
    <mergeCell ref="I329:J329"/>
    <mergeCell ref="G330:H330"/>
    <mergeCell ref="G331:H331"/>
    <mergeCell ref="G332:H332"/>
    <mergeCell ref="G333:H333"/>
    <mergeCell ref="G334:H334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I305:I306"/>
    <mergeCell ref="J305:J306"/>
    <mergeCell ref="G306:H306"/>
    <mergeCell ref="G307:H307"/>
    <mergeCell ref="I307:I308"/>
    <mergeCell ref="J307:J308"/>
    <mergeCell ref="G308:H308"/>
    <mergeCell ref="G309:H309"/>
    <mergeCell ref="I309:I310"/>
    <mergeCell ref="J309:J310"/>
    <mergeCell ref="G310:H310"/>
    <mergeCell ref="I311:I312"/>
    <mergeCell ref="J311:J312"/>
    <mergeCell ref="I315:I316"/>
    <mergeCell ref="J315:J316"/>
    <mergeCell ref="I317:I318"/>
    <mergeCell ref="J317:J318"/>
    <mergeCell ref="I319:I320"/>
    <mergeCell ref="J319:J320"/>
    <mergeCell ref="I321:J321"/>
    <mergeCell ref="G311:H311"/>
    <mergeCell ref="G312:H312"/>
    <mergeCell ref="G313:H313"/>
    <mergeCell ref="I313:I314"/>
    <mergeCell ref="J313:J314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35:H335"/>
    <mergeCell ref="I335:I336"/>
    <mergeCell ref="J335:J336"/>
    <mergeCell ref="G336:H336"/>
    <mergeCell ref="H30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J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J51"/>
    <mergeCell ref="H52:I52"/>
    <mergeCell ref="H53:I53"/>
    <mergeCell ref="H54:I55"/>
    <mergeCell ref="J54:J55"/>
    <mergeCell ref="H56:I57"/>
    <mergeCell ref="J56:J57"/>
    <mergeCell ref="H58:I59"/>
    <mergeCell ref="J58:J59"/>
    <mergeCell ref="H60:I61"/>
    <mergeCell ref="J60:J61"/>
    <mergeCell ref="H62:I63"/>
    <mergeCell ref="J62:J63"/>
    <mergeCell ref="H64:I65"/>
    <mergeCell ref="J64:J65"/>
    <mergeCell ref="J66:J67"/>
    <mergeCell ref="H66:I67"/>
    <mergeCell ref="H68:I69"/>
    <mergeCell ref="J68:J69"/>
    <mergeCell ref="H70:I71"/>
    <mergeCell ref="J70:J71"/>
    <mergeCell ref="H72:I73"/>
    <mergeCell ref="J72:J73"/>
    <mergeCell ref="H108:I109"/>
    <mergeCell ref="H110:I111"/>
    <mergeCell ref="J110:J111"/>
    <mergeCell ref="H112:I113"/>
    <mergeCell ref="J112:J113"/>
    <mergeCell ref="H102:I102"/>
    <mergeCell ref="H103:I103"/>
    <mergeCell ref="H104:I105"/>
    <mergeCell ref="J104:J105"/>
    <mergeCell ref="H106:I106"/>
    <mergeCell ref="H107:I107"/>
    <mergeCell ref="J108:J109"/>
    <mergeCell ref="G141:H141"/>
    <mergeCell ref="G142:H142"/>
    <mergeCell ref="I142:J142"/>
    <mergeCell ref="G143:H143"/>
    <mergeCell ref="G144:H144"/>
    <mergeCell ref="G145:H145"/>
    <mergeCell ref="G146:H146"/>
    <mergeCell ref="G147:H147"/>
    <mergeCell ref="I147:J147"/>
    <mergeCell ref="G148:H148"/>
    <mergeCell ref="G149:H149"/>
    <mergeCell ref="G150:H150"/>
    <mergeCell ref="G151:H151"/>
    <mergeCell ref="G152:H152"/>
    <mergeCell ref="H87:I87"/>
    <mergeCell ref="H88:I89"/>
    <mergeCell ref="J88:J89"/>
    <mergeCell ref="H90:I91"/>
    <mergeCell ref="J90:J91"/>
    <mergeCell ref="H92:I93"/>
    <mergeCell ref="J92:J93"/>
    <mergeCell ref="H94:I95"/>
    <mergeCell ref="J94:J95"/>
    <mergeCell ref="H96:I97"/>
    <mergeCell ref="J96:J97"/>
    <mergeCell ref="H98:I99"/>
    <mergeCell ref="J98:J99"/>
    <mergeCell ref="H100:J101"/>
    <mergeCell ref="G114:H114"/>
    <mergeCell ref="G115:H115"/>
    <mergeCell ref="I115:J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I171:J171"/>
    <mergeCell ref="G172:H172"/>
    <mergeCell ref="G173:H173"/>
    <mergeCell ref="G174:H174"/>
    <mergeCell ref="I174:I175"/>
    <mergeCell ref="J174:J175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I197:J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I205:I206"/>
    <mergeCell ref="J205:J206"/>
    <mergeCell ref="G206:H206"/>
    <mergeCell ref="G207:H207"/>
    <mergeCell ref="I207:J208"/>
    <mergeCell ref="G208:H208"/>
    <mergeCell ref="G209:H209"/>
    <mergeCell ref="I209:I210"/>
    <mergeCell ref="J209:J210"/>
    <mergeCell ref="G210:H210"/>
    <mergeCell ref="G211:H211"/>
    <mergeCell ref="I211:I212"/>
    <mergeCell ref="J211:J212"/>
    <mergeCell ref="G212:H212"/>
    <mergeCell ref="G213:H213"/>
    <mergeCell ref="I213:I214"/>
    <mergeCell ref="J213:J214"/>
    <mergeCell ref="G214:H214"/>
    <mergeCell ref="I215:I216"/>
    <mergeCell ref="J215:J216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I223:J223"/>
    <mergeCell ref="G224:H224"/>
    <mergeCell ref="G225:H225"/>
    <mergeCell ref="G226:H226"/>
    <mergeCell ref="G227:H227"/>
    <mergeCell ref="G228:H228"/>
    <mergeCell ref="I228:J228"/>
    <mergeCell ref="G229:H229"/>
    <mergeCell ref="G230:H230"/>
    <mergeCell ref="G231:H231"/>
    <mergeCell ref="G232:H232"/>
    <mergeCell ref="I233:J233"/>
    <mergeCell ref="G233:H233"/>
    <mergeCell ref="G234:H234"/>
    <mergeCell ref="G235:H235"/>
    <mergeCell ref="G236:H236"/>
    <mergeCell ref="G237:H237"/>
    <mergeCell ref="G238:H238"/>
    <mergeCell ref="I239:J239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I275:J275"/>
    <mergeCell ref="G276:H276"/>
    <mergeCell ref="G277:H277"/>
    <mergeCell ref="I277:J277"/>
    <mergeCell ref="G278:H278"/>
    <mergeCell ref="G293:H293"/>
    <mergeCell ref="I293:I294"/>
    <mergeCell ref="J293:J294"/>
    <mergeCell ref="G294:H294"/>
    <mergeCell ref="G295:H295"/>
    <mergeCell ref="G296:H296"/>
    <mergeCell ref="G297:H29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2026-01-28T11:36:14Z</dcterms:created>
  <dc:creator>almudena fachal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2026-01-28T00:00:00Z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2026-01-28T00:00:00Z</vt:filetime>
  </property>
  <property fmtid="{D5CDD505-2E9C-101B-9397-08002B2CF9AE}" pid="5" name="Producer">
    <vt:lpwstr>www.ilovepdf.com</vt:lpwstr>
  </property>
</Properties>
</file>